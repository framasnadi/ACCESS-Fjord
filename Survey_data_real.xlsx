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Other computers\My Laptop (1)\Other\ShinyAPPnorway\ACCESS-FjordAPP\"/>
    </mc:Choice>
  </mc:AlternateContent>
  <xr:revisionPtr revIDLastSave="0" documentId="13_ncr:1_{C1872787-23C7-4B9E-9A76-5C5ABB3E775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atchdata" sheetId="1" r:id="rId1"/>
    <sheet name="station_info" sheetId="3" r:id="rId2"/>
    <sheet name="stratum_info" sheetId="2" r:id="rId3"/>
  </sheets>
  <definedNames>
    <definedName name="_xlnm._FilterDatabase" localSheetId="0" hidden="1">catchdata!$A$1:$J$180</definedName>
    <definedName name="_xlnm._FilterDatabase" localSheetId="1" hidden="1">station_info!$A$1:$S$216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2" l="1"/>
  <c r="E4" i="2"/>
  <c r="E3" i="2"/>
  <c r="E2" i="2"/>
</calcChain>
</file>

<file path=xl/sharedStrings.xml><?xml version="1.0" encoding="utf-8"?>
<sst xmlns="http://schemas.openxmlformats.org/spreadsheetml/2006/main" count="1368" uniqueCount="149">
  <si>
    <t>Date</t>
  </si>
  <si>
    <t>Fisherman</t>
  </si>
  <si>
    <t>FishingGear</t>
  </si>
  <si>
    <t>Length</t>
  </si>
  <si>
    <t>Weight</t>
  </si>
  <si>
    <t>Species</t>
  </si>
  <si>
    <t>Cod</t>
  </si>
  <si>
    <t>A</t>
  </si>
  <si>
    <t>Y</t>
  </si>
  <si>
    <t>CandR</t>
  </si>
  <si>
    <t>Start</t>
  </si>
  <si>
    <t>End</t>
  </si>
  <si>
    <t>Stratum</t>
  </si>
  <si>
    <t>S1</t>
  </si>
  <si>
    <t>S2</t>
  </si>
  <si>
    <t>S3</t>
  </si>
  <si>
    <t>Area</t>
  </si>
  <si>
    <t>MaxDepth</t>
  </si>
  <si>
    <t>MinDepth</t>
  </si>
  <si>
    <t>AreaWeight</t>
  </si>
  <si>
    <t>S4</t>
  </si>
  <si>
    <t>Areakm</t>
  </si>
  <si>
    <t>DepthStart</t>
  </si>
  <si>
    <t>DepthEnd</t>
  </si>
  <si>
    <t>ExtraInfo</t>
  </si>
  <si>
    <t>Temp</t>
  </si>
  <si>
    <t>Salinity</t>
  </si>
  <si>
    <t>Tidal_Height</t>
  </si>
  <si>
    <t>Tidal_Phase</t>
  </si>
  <si>
    <t>Sea</t>
  </si>
  <si>
    <t>Weather</t>
  </si>
  <si>
    <t>StationID</t>
  </si>
  <si>
    <t>LATstart</t>
  </si>
  <si>
    <t>LONend</t>
  </si>
  <si>
    <t>LONstart</t>
  </si>
  <si>
    <t>LATend</t>
  </si>
  <si>
    <t>R</t>
  </si>
  <si>
    <t>H</t>
  </si>
  <si>
    <t>Calm</t>
  </si>
  <si>
    <t>Foggy</t>
  </si>
  <si>
    <t>jig &lt; 100</t>
  </si>
  <si>
    <t>jig &gt; 100</t>
  </si>
  <si>
    <t>Skallen</t>
  </si>
  <si>
    <t>Lappvika</t>
  </si>
  <si>
    <t>Korsvika</t>
  </si>
  <si>
    <t>strong current</t>
  </si>
  <si>
    <t>gentle breeze</t>
  </si>
  <si>
    <t>very little drift</t>
  </si>
  <si>
    <t>Sun</t>
  </si>
  <si>
    <t>Slight</t>
  </si>
  <si>
    <t>Num_fisher</t>
  </si>
  <si>
    <t>NO_FISH</t>
  </si>
  <si>
    <t>Ling</t>
  </si>
  <si>
    <t>B</t>
  </si>
  <si>
    <t>Kalovika</t>
  </si>
  <si>
    <t>F</t>
  </si>
  <si>
    <t>Cloud</t>
  </si>
  <si>
    <t>Bonnåjøen Deep</t>
  </si>
  <si>
    <t>Daudmannvika</t>
  </si>
  <si>
    <t>Inner Kalvika</t>
  </si>
  <si>
    <t>bait</t>
  </si>
  <si>
    <t>Brosme</t>
  </si>
  <si>
    <t>multiple cod following to surface</t>
  </si>
  <si>
    <t>Munida</t>
  </si>
  <si>
    <t>Stomach</t>
  </si>
  <si>
    <t>krill</t>
  </si>
  <si>
    <t>empty</t>
  </si>
  <si>
    <t>eremit crabs</t>
  </si>
  <si>
    <t>Halibut</t>
  </si>
  <si>
    <t>jig &gt; 300</t>
  </si>
  <si>
    <t>parasites</t>
  </si>
  <si>
    <t>peeteer_27</t>
  </si>
  <si>
    <t/>
  </si>
  <si>
    <t>Jovikskallen</t>
  </si>
  <si>
    <t>Lukas</t>
  </si>
  <si>
    <t>D</t>
  </si>
  <si>
    <t>Vellamsvika</t>
  </si>
  <si>
    <t>Einarvika</t>
  </si>
  <si>
    <t>Flatstein</t>
  </si>
  <si>
    <t>Pollack</t>
  </si>
  <si>
    <t>KEJ</t>
  </si>
  <si>
    <t>nicoletta8938</t>
  </si>
  <si>
    <t>L</t>
  </si>
  <si>
    <t>Saithe</t>
  </si>
  <si>
    <t>gioronta</t>
  </si>
  <si>
    <t>astridmedd</t>
  </si>
  <si>
    <t>terramare_fjordgaard</t>
  </si>
  <si>
    <t>andreamasnadi</t>
  </si>
  <si>
    <t>topwater</t>
  </si>
  <si>
    <t>Prestmåsøya est</t>
  </si>
  <si>
    <t>Rørstad</t>
  </si>
  <si>
    <t>Elvkroken</t>
  </si>
  <si>
    <t>almost halibut (2)</t>
  </si>
  <si>
    <t>alti_liveli</t>
  </si>
  <si>
    <t>fishing_biodiversity</t>
  </si>
  <si>
    <t>enrico.e.armelloni</t>
  </si>
  <si>
    <t>bait fish</t>
  </si>
  <si>
    <t>Berrflogan tunnel</t>
  </si>
  <si>
    <t>Faerøyvalen</t>
  </si>
  <si>
    <t>Rain</t>
  </si>
  <si>
    <t>vedmannen</t>
  </si>
  <si>
    <t>fermati01</t>
  </si>
  <si>
    <t>francimazzieri</t>
  </si>
  <si>
    <t>Mackerel</t>
  </si>
  <si>
    <t>Filippo</t>
  </si>
  <si>
    <t>Marco</t>
  </si>
  <si>
    <t>empty (female)</t>
  </si>
  <si>
    <t>seaquirt?</t>
  </si>
  <si>
    <t>fish rest</t>
  </si>
  <si>
    <t>small crab</t>
  </si>
  <si>
    <t>Fiskebrigga corner</t>
  </si>
  <si>
    <t>Goal</t>
  </si>
  <si>
    <t>Skarvstua</t>
  </si>
  <si>
    <t>Sjunkvika</t>
  </si>
  <si>
    <t>Seatrout</t>
  </si>
  <si>
    <t>Rørstad port</t>
  </si>
  <si>
    <t>Aniello</t>
  </si>
  <si>
    <t>3 shells</t>
  </si>
  <si>
    <t>NPTF</t>
  </si>
  <si>
    <t>NP</t>
  </si>
  <si>
    <t>lost 4 halibut</t>
  </si>
  <si>
    <t>lost 2 halibut</t>
  </si>
  <si>
    <t>lost 2/3 halibut</t>
  </si>
  <si>
    <t>Brattlia</t>
  </si>
  <si>
    <t>Wavy</t>
  </si>
  <si>
    <t>Deep fish</t>
  </si>
  <si>
    <t>E</t>
  </si>
  <si>
    <t>Øygårdsskjæret</t>
  </si>
  <si>
    <t>Simone</t>
  </si>
  <si>
    <t>Thomas</t>
  </si>
  <si>
    <t>Rossana</t>
  </si>
  <si>
    <t>salento_fishing_team</t>
  </si>
  <si>
    <t>tommi_cdl_</t>
  </si>
  <si>
    <t>muccafru</t>
  </si>
  <si>
    <t>Massimo</t>
  </si>
  <si>
    <t>2 otholits</t>
  </si>
  <si>
    <t>crustacean gammarus?</t>
  </si>
  <si>
    <t>Grey gurnard</t>
  </si>
  <si>
    <t>fish rest and thalassinidea</t>
  </si>
  <si>
    <t>Crab munida rugosa</t>
  </si>
  <si>
    <t>Bait fish</t>
  </si>
  <si>
    <t>Kalovika opposite deep</t>
  </si>
  <si>
    <t>lovefish</t>
  </si>
  <si>
    <t>Redfish</t>
  </si>
  <si>
    <t>lost halibut metal jig</t>
  </si>
  <si>
    <t>Renato</t>
  </si>
  <si>
    <t>Jack</t>
  </si>
  <si>
    <t>Marco2</t>
  </si>
  <si>
    <t>Pino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</si>
</sst>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yyyy\-mm\-dd\ hh:mm:ss\ \U\T\C"/>
    <numFmt numFmtId="166" formatCode="#,##0.0000"/>
    <numFmt numFmtId="167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20" fontId="0" fillId="0" borderId="0" xfId="0" applyNumberFormat="1"/>
    <xf numFmtId="165" fontId="0" fillId="0" borderId="0" xfId="0" applyNumberFormat="1"/>
    <xf numFmtId="0" fontId="1" fillId="0" borderId="0" xfId="0" applyFont="1"/>
    <xf numFmtId="166" fontId="0" fillId="0" borderId="0" xfId="0" applyNumberFormat="1"/>
    <xf numFmtId="167" fontId="0" fillId="0" borderId="0" xfId="0" applyNumberFormat="1"/>
    <xf numFmtId="0" fontId="0" fillId="0" borderId="0" xfId="0" quotePrefix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9"/>
  <sheetViews>
    <sheetView tabSelected="1" zoomScaleNormal="100" workbookViewId="0">
      <pane ySplit="1" topLeftCell="A2" activePane="bottomLeft" state="frozen"/>
      <selection pane="bottomLeft" activeCell="I202" sqref="I202"/>
    </sheetView>
  </sheetViews>
  <sheetFormatPr defaultRowHeight="14.5" x14ac:dyDescent="0.35"/>
  <cols>
    <col min="1" max="1" width="25.7265625" style="2" customWidth="1"/>
    <col min="2" max="2" width="15.81640625" customWidth="1"/>
    <col min="3" max="3" width="21" customWidth="1"/>
    <col min="4" max="4" width="13.7265625" customWidth="1"/>
    <col min="5" max="5" width="19.1796875" customWidth="1"/>
    <col min="10" max="10" width="17.6328125" customWidth="1"/>
  </cols>
  <sheetData>
    <row r="1" spans="1:10" s="1" customFormat="1" x14ac:dyDescent="0.35">
      <c r="A1" s="1" t="s">
        <v>0</v>
      </c>
      <c r="B1" s="1" t="s">
        <v>31</v>
      </c>
      <c r="C1" s="1" t="s">
        <v>1</v>
      </c>
      <c r="D1" s="1" t="s">
        <v>2</v>
      </c>
      <c r="E1" s="1" t="s">
        <v>5</v>
      </c>
      <c r="F1" s="1" t="s">
        <v>3</v>
      </c>
      <c r="G1" s="1" t="s">
        <v>4</v>
      </c>
      <c r="H1" s="1" t="s">
        <v>118</v>
      </c>
      <c r="I1" s="1" t="s">
        <v>9</v>
      </c>
      <c r="J1" s="1" t="s">
        <v>64</v>
      </c>
    </row>
    <row r="2" spans="1:10" x14ac:dyDescent="0.35">
      <c r="A2" s="2">
        <v>45997</v>
      </c>
      <c r="B2" t="s">
        <v>42</v>
      </c>
      <c r="C2" t="s">
        <v>71</v>
      </c>
      <c r="D2" t="s">
        <v>41</v>
      </c>
      <c r="E2" t="s">
        <v>68</v>
      </c>
      <c r="F2">
        <v>90</v>
      </c>
      <c r="G2">
        <v>8000</v>
      </c>
    </row>
    <row r="3" spans="1:10" x14ac:dyDescent="0.35">
      <c r="A3" s="2">
        <v>45997</v>
      </c>
      <c r="B3" t="s">
        <v>42</v>
      </c>
      <c r="C3" t="s">
        <v>71</v>
      </c>
      <c r="D3" t="s">
        <v>40</v>
      </c>
      <c r="E3" t="s">
        <v>83</v>
      </c>
      <c r="F3">
        <v>52</v>
      </c>
      <c r="G3">
        <v>1046</v>
      </c>
      <c r="I3" s="8" t="s">
        <v>72</v>
      </c>
    </row>
    <row r="4" spans="1:10" x14ac:dyDescent="0.35">
      <c r="A4" s="2">
        <v>45997</v>
      </c>
      <c r="B4" t="s">
        <v>42</v>
      </c>
      <c r="C4" t="s">
        <v>84</v>
      </c>
      <c r="D4" t="s">
        <v>40</v>
      </c>
      <c r="E4" t="s">
        <v>83</v>
      </c>
      <c r="F4">
        <v>48</v>
      </c>
      <c r="G4">
        <v>880</v>
      </c>
      <c r="I4" t="s">
        <v>8</v>
      </c>
    </row>
    <row r="5" spans="1:10" x14ac:dyDescent="0.35">
      <c r="A5" s="2">
        <v>46062</v>
      </c>
      <c r="B5" t="s">
        <v>42</v>
      </c>
      <c r="D5" t="s">
        <v>41</v>
      </c>
      <c r="E5" t="s">
        <v>51</v>
      </c>
    </row>
    <row r="6" spans="1:10" x14ac:dyDescent="0.35">
      <c r="A6" s="2">
        <v>46062</v>
      </c>
      <c r="B6" t="s">
        <v>43</v>
      </c>
      <c r="C6" t="s">
        <v>86</v>
      </c>
      <c r="D6" t="s">
        <v>41</v>
      </c>
      <c r="E6" t="s">
        <v>6</v>
      </c>
      <c r="F6">
        <v>60.5</v>
      </c>
      <c r="G6">
        <v>2090</v>
      </c>
    </row>
    <row r="7" spans="1:10" x14ac:dyDescent="0.35">
      <c r="A7" s="2">
        <v>46062</v>
      </c>
      <c r="B7" t="s">
        <v>43</v>
      </c>
      <c r="C7" t="s">
        <v>86</v>
      </c>
      <c r="D7" t="s">
        <v>41</v>
      </c>
      <c r="E7" t="s">
        <v>6</v>
      </c>
      <c r="F7">
        <v>61</v>
      </c>
      <c r="G7">
        <v>2070</v>
      </c>
    </row>
    <row r="8" spans="1:10" x14ac:dyDescent="0.35">
      <c r="A8" s="2">
        <v>46062</v>
      </c>
      <c r="B8" t="s">
        <v>44</v>
      </c>
      <c r="C8" t="s">
        <v>85</v>
      </c>
      <c r="D8" t="s">
        <v>40</v>
      </c>
      <c r="E8" t="s">
        <v>83</v>
      </c>
      <c r="F8">
        <v>30</v>
      </c>
      <c r="G8">
        <v>200</v>
      </c>
      <c r="I8" t="s">
        <v>8</v>
      </c>
    </row>
    <row r="9" spans="1:10" x14ac:dyDescent="0.35">
      <c r="A9" s="2">
        <v>46062</v>
      </c>
      <c r="B9" t="s">
        <v>44</v>
      </c>
      <c r="C9" t="s">
        <v>85</v>
      </c>
      <c r="D9" t="s">
        <v>40</v>
      </c>
      <c r="E9" t="s">
        <v>52</v>
      </c>
      <c r="F9">
        <v>44.5</v>
      </c>
      <c r="G9">
        <v>500</v>
      </c>
      <c r="I9" t="s">
        <v>8</v>
      </c>
    </row>
    <row r="10" spans="1:10" x14ac:dyDescent="0.35">
      <c r="A10" s="2">
        <v>46062</v>
      </c>
      <c r="B10" t="s">
        <v>44</v>
      </c>
      <c r="C10" t="s">
        <v>85</v>
      </c>
      <c r="D10" t="s">
        <v>40</v>
      </c>
      <c r="E10" t="s">
        <v>83</v>
      </c>
      <c r="F10">
        <v>46</v>
      </c>
      <c r="G10">
        <v>660</v>
      </c>
    </row>
    <row r="11" spans="1:10" x14ac:dyDescent="0.35">
      <c r="A11" s="2">
        <v>46062</v>
      </c>
      <c r="B11" t="s">
        <v>44</v>
      </c>
      <c r="C11" t="s">
        <v>85</v>
      </c>
      <c r="D11" t="s">
        <v>40</v>
      </c>
      <c r="E11" t="s">
        <v>83</v>
      </c>
      <c r="F11">
        <v>42</v>
      </c>
      <c r="G11">
        <v>580</v>
      </c>
      <c r="I11" t="s">
        <v>8</v>
      </c>
    </row>
    <row r="12" spans="1:10" x14ac:dyDescent="0.35">
      <c r="A12" s="2">
        <v>46074</v>
      </c>
      <c r="B12" t="s">
        <v>42</v>
      </c>
      <c r="C12" t="s">
        <v>86</v>
      </c>
      <c r="D12" t="s">
        <v>41</v>
      </c>
      <c r="E12" t="s">
        <v>6</v>
      </c>
      <c r="F12">
        <v>105</v>
      </c>
      <c r="G12">
        <v>11120</v>
      </c>
    </row>
    <row r="13" spans="1:10" x14ac:dyDescent="0.35">
      <c r="A13" s="2">
        <v>46074</v>
      </c>
      <c r="B13" t="s">
        <v>43</v>
      </c>
      <c r="C13" t="s">
        <v>86</v>
      </c>
      <c r="D13" t="s">
        <v>41</v>
      </c>
      <c r="E13" t="s">
        <v>6</v>
      </c>
      <c r="F13">
        <v>66</v>
      </c>
      <c r="G13">
        <v>3200</v>
      </c>
      <c r="I13" t="s">
        <v>8</v>
      </c>
    </row>
    <row r="14" spans="1:10" x14ac:dyDescent="0.35">
      <c r="A14" s="2">
        <v>46074</v>
      </c>
      <c r="B14" t="s">
        <v>43</v>
      </c>
      <c r="C14" t="s">
        <v>86</v>
      </c>
      <c r="D14" t="s">
        <v>40</v>
      </c>
      <c r="E14" t="s">
        <v>6</v>
      </c>
      <c r="F14">
        <v>63</v>
      </c>
      <c r="G14">
        <v>2300</v>
      </c>
      <c r="I14" t="s">
        <v>8</v>
      </c>
    </row>
    <row r="15" spans="1:10" x14ac:dyDescent="0.35">
      <c r="A15" s="2">
        <v>46074</v>
      </c>
      <c r="B15" t="s">
        <v>42</v>
      </c>
      <c r="C15" t="s">
        <v>86</v>
      </c>
      <c r="D15" t="s">
        <v>40</v>
      </c>
      <c r="E15" t="s">
        <v>83</v>
      </c>
      <c r="F15">
        <v>51</v>
      </c>
      <c r="G15">
        <v>1000</v>
      </c>
      <c r="I15" t="s">
        <v>8</v>
      </c>
    </row>
    <row r="16" spans="1:10" x14ac:dyDescent="0.35">
      <c r="A16" s="2">
        <v>46082</v>
      </c>
      <c r="B16" t="s">
        <v>54</v>
      </c>
      <c r="C16" t="s">
        <v>86</v>
      </c>
      <c r="D16" t="s">
        <v>60</v>
      </c>
      <c r="E16" t="s">
        <v>83</v>
      </c>
      <c r="F16">
        <v>54.4</v>
      </c>
      <c r="G16">
        <v>1140</v>
      </c>
    </row>
    <row r="17" spans="1:10" x14ac:dyDescent="0.35">
      <c r="A17" s="2">
        <v>46082</v>
      </c>
      <c r="B17" t="s">
        <v>54</v>
      </c>
      <c r="C17" t="s">
        <v>86</v>
      </c>
      <c r="D17" t="s">
        <v>40</v>
      </c>
      <c r="E17" t="s">
        <v>6</v>
      </c>
      <c r="F17">
        <v>54</v>
      </c>
      <c r="G17">
        <v>1300</v>
      </c>
      <c r="I17" t="s">
        <v>8</v>
      </c>
    </row>
    <row r="18" spans="1:10" x14ac:dyDescent="0.35">
      <c r="A18" s="2">
        <v>46082</v>
      </c>
      <c r="B18" t="s">
        <v>54</v>
      </c>
      <c r="C18" t="s">
        <v>86</v>
      </c>
      <c r="D18" t="s">
        <v>41</v>
      </c>
      <c r="E18" t="s">
        <v>6</v>
      </c>
      <c r="F18">
        <v>74</v>
      </c>
      <c r="G18">
        <v>5000</v>
      </c>
      <c r="I18" t="s">
        <v>8</v>
      </c>
    </row>
    <row r="19" spans="1:10" x14ac:dyDescent="0.35">
      <c r="A19" s="2">
        <v>46082</v>
      </c>
      <c r="B19" t="s">
        <v>54</v>
      </c>
      <c r="C19" t="s">
        <v>85</v>
      </c>
      <c r="D19" t="s">
        <v>41</v>
      </c>
      <c r="E19" t="s">
        <v>6</v>
      </c>
      <c r="F19">
        <v>70</v>
      </c>
      <c r="G19">
        <v>3300</v>
      </c>
      <c r="J19" t="s">
        <v>66</v>
      </c>
    </row>
    <row r="20" spans="1:10" x14ac:dyDescent="0.35">
      <c r="A20" s="2">
        <v>46082</v>
      </c>
      <c r="B20" t="s">
        <v>54</v>
      </c>
      <c r="C20" t="s">
        <v>85</v>
      </c>
      <c r="D20" t="s">
        <v>41</v>
      </c>
      <c r="E20" t="s">
        <v>6</v>
      </c>
      <c r="F20">
        <v>68</v>
      </c>
      <c r="G20">
        <v>3100</v>
      </c>
      <c r="I20" t="s">
        <v>8</v>
      </c>
    </row>
    <row r="21" spans="1:10" x14ac:dyDescent="0.35">
      <c r="A21" s="2">
        <v>46082</v>
      </c>
      <c r="B21" t="s">
        <v>54</v>
      </c>
      <c r="C21" t="s">
        <v>85</v>
      </c>
      <c r="D21" t="s">
        <v>41</v>
      </c>
      <c r="E21" t="s">
        <v>6</v>
      </c>
      <c r="F21">
        <v>62</v>
      </c>
      <c r="G21">
        <v>2200</v>
      </c>
      <c r="J21" t="s">
        <v>67</v>
      </c>
    </row>
    <row r="22" spans="1:10" x14ac:dyDescent="0.35">
      <c r="A22" s="2">
        <v>46082</v>
      </c>
      <c r="B22" t="s">
        <v>57</v>
      </c>
      <c r="C22" t="s">
        <v>86</v>
      </c>
      <c r="D22" t="s">
        <v>41</v>
      </c>
      <c r="E22" t="s">
        <v>83</v>
      </c>
      <c r="F22">
        <v>51</v>
      </c>
      <c r="G22">
        <v>1250</v>
      </c>
      <c r="J22" t="s">
        <v>65</v>
      </c>
    </row>
    <row r="23" spans="1:10" x14ac:dyDescent="0.35">
      <c r="A23" s="2">
        <v>46082</v>
      </c>
      <c r="B23" t="s">
        <v>57</v>
      </c>
      <c r="C23" t="s">
        <v>86</v>
      </c>
      <c r="D23" t="s">
        <v>41</v>
      </c>
      <c r="E23" t="s">
        <v>83</v>
      </c>
      <c r="F23">
        <v>48</v>
      </c>
      <c r="G23">
        <v>990</v>
      </c>
    </row>
    <row r="24" spans="1:10" x14ac:dyDescent="0.35">
      <c r="A24" s="2">
        <v>46082</v>
      </c>
      <c r="B24" t="s">
        <v>58</v>
      </c>
      <c r="C24" t="s">
        <v>86</v>
      </c>
      <c r="D24" t="s">
        <v>41</v>
      </c>
      <c r="E24" t="s">
        <v>61</v>
      </c>
      <c r="F24">
        <v>52</v>
      </c>
      <c r="G24">
        <v>1430</v>
      </c>
      <c r="J24" t="s">
        <v>63</v>
      </c>
    </row>
    <row r="25" spans="1:10" x14ac:dyDescent="0.35">
      <c r="A25" s="2">
        <v>46082</v>
      </c>
      <c r="B25" t="s">
        <v>58</v>
      </c>
      <c r="C25" t="s">
        <v>86</v>
      </c>
      <c r="D25" t="s">
        <v>41</v>
      </c>
      <c r="E25" t="s">
        <v>6</v>
      </c>
      <c r="F25">
        <v>63</v>
      </c>
      <c r="G25">
        <v>2600</v>
      </c>
      <c r="I25" t="s">
        <v>8</v>
      </c>
    </row>
    <row r="26" spans="1:10" x14ac:dyDescent="0.35">
      <c r="A26" s="2">
        <v>46082</v>
      </c>
      <c r="B26" t="s">
        <v>58</v>
      </c>
      <c r="C26" t="s">
        <v>85</v>
      </c>
      <c r="D26" t="s">
        <v>41</v>
      </c>
      <c r="E26" t="s">
        <v>61</v>
      </c>
      <c r="F26">
        <v>48</v>
      </c>
      <c r="G26">
        <v>1010</v>
      </c>
    </row>
    <row r="27" spans="1:10" x14ac:dyDescent="0.35">
      <c r="A27" s="2">
        <v>46082</v>
      </c>
      <c r="B27" t="s">
        <v>59</v>
      </c>
      <c r="D27" t="s">
        <v>41</v>
      </c>
      <c r="E27" t="s">
        <v>51</v>
      </c>
    </row>
    <row r="28" spans="1:10" x14ac:dyDescent="0.35">
      <c r="A28" s="2">
        <v>46095</v>
      </c>
      <c r="B28" t="s">
        <v>54</v>
      </c>
      <c r="C28" t="s">
        <v>86</v>
      </c>
      <c r="D28" t="s">
        <v>41</v>
      </c>
      <c r="E28" t="s">
        <v>83</v>
      </c>
      <c r="F28">
        <v>81</v>
      </c>
      <c r="G28">
        <v>3470</v>
      </c>
    </row>
    <row r="29" spans="1:10" x14ac:dyDescent="0.35">
      <c r="A29" s="2">
        <v>46095</v>
      </c>
      <c r="B29" t="s">
        <v>54</v>
      </c>
      <c r="C29" t="s">
        <v>80</v>
      </c>
      <c r="D29" t="s">
        <v>41</v>
      </c>
      <c r="E29" t="s">
        <v>83</v>
      </c>
      <c r="F29">
        <v>77</v>
      </c>
      <c r="G29">
        <v>3010</v>
      </c>
      <c r="I29" t="s">
        <v>8</v>
      </c>
    </row>
    <row r="30" spans="1:10" x14ac:dyDescent="0.35">
      <c r="A30" s="2">
        <v>46095</v>
      </c>
      <c r="B30" t="s">
        <v>54</v>
      </c>
      <c r="C30" t="s">
        <v>80</v>
      </c>
      <c r="D30" t="s">
        <v>41</v>
      </c>
      <c r="E30" t="s">
        <v>83</v>
      </c>
      <c r="F30">
        <v>63</v>
      </c>
      <c r="G30">
        <v>1600</v>
      </c>
    </row>
    <row r="31" spans="1:10" x14ac:dyDescent="0.35">
      <c r="A31" s="2">
        <v>46095</v>
      </c>
      <c r="B31" t="s">
        <v>54</v>
      </c>
      <c r="C31" t="s">
        <v>86</v>
      </c>
      <c r="D31" t="s">
        <v>69</v>
      </c>
      <c r="E31" t="s">
        <v>68</v>
      </c>
      <c r="F31">
        <v>122</v>
      </c>
      <c r="G31">
        <v>17155</v>
      </c>
      <c r="I31" t="s">
        <v>8</v>
      </c>
    </row>
    <row r="32" spans="1:10" x14ac:dyDescent="0.35">
      <c r="A32" s="2">
        <v>46095</v>
      </c>
      <c r="B32" t="s">
        <v>54</v>
      </c>
      <c r="C32" t="s">
        <v>80</v>
      </c>
      <c r="D32" t="s">
        <v>41</v>
      </c>
      <c r="E32" t="s">
        <v>6</v>
      </c>
      <c r="F32">
        <v>73</v>
      </c>
      <c r="G32">
        <v>3695</v>
      </c>
      <c r="J32" t="s">
        <v>70</v>
      </c>
    </row>
    <row r="33" spans="1:7" x14ac:dyDescent="0.35">
      <c r="A33" s="2">
        <v>46095</v>
      </c>
      <c r="B33" t="s">
        <v>54</v>
      </c>
      <c r="C33" t="s">
        <v>86</v>
      </c>
      <c r="D33" t="s">
        <v>41</v>
      </c>
      <c r="E33" t="s">
        <v>6</v>
      </c>
      <c r="F33">
        <v>80</v>
      </c>
      <c r="G33">
        <v>4200</v>
      </c>
    </row>
    <row r="34" spans="1:7" x14ac:dyDescent="0.35">
      <c r="A34" s="2">
        <v>46095</v>
      </c>
      <c r="B34" t="s">
        <v>54</v>
      </c>
      <c r="C34" t="s">
        <v>86</v>
      </c>
      <c r="D34" t="s">
        <v>41</v>
      </c>
      <c r="E34" t="s">
        <v>6</v>
      </c>
      <c r="F34">
        <v>61</v>
      </c>
      <c r="G34">
        <v>2165</v>
      </c>
    </row>
    <row r="35" spans="1:7" x14ac:dyDescent="0.35">
      <c r="A35" s="2">
        <v>46116</v>
      </c>
      <c r="B35" t="s">
        <v>73</v>
      </c>
      <c r="C35" t="s">
        <v>74</v>
      </c>
      <c r="D35" t="s">
        <v>41</v>
      </c>
      <c r="E35" t="s">
        <v>83</v>
      </c>
      <c r="F35">
        <v>43</v>
      </c>
    </row>
    <row r="36" spans="1:7" x14ac:dyDescent="0.35">
      <c r="A36" s="2">
        <v>46116</v>
      </c>
      <c r="B36" t="s">
        <v>73</v>
      </c>
      <c r="C36" t="s">
        <v>74</v>
      </c>
      <c r="D36" t="s">
        <v>41</v>
      </c>
      <c r="E36" t="s">
        <v>83</v>
      </c>
      <c r="F36">
        <v>41.5</v>
      </c>
    </row>
    <row r="37" spans="1:7" x14ac:dyDescent="0.35">
      <c r="A37" s="2">
        <v>46116</v>
      </c>
      <c r="B37" t="s">
        <v>73</v>
      </c>
      <c r="C37" t="s">
        <v>74</v>
      </c>
      <c r="D37" t="s">
        <v>41</v>
      </c>
      <c r="E37" t="s">
        <v>83</v>
      </c>
      <c r="F37">
        <v>44</v>
      </c>
    </row>
    <row r="38" spans="1:7" x14ac:dyDescent="0.35">
      <c r="A38" s="2">
        <v>46116</v>
      </c>
      <c r="B38" t="s">
        <v>76</v>
      </c>
      <c r="C38" t="s">
        <v>74</v>
      </c>
      <c r="D38" t="s">
        <v>41</v>
      </c>
      <c r="E38" t="s">
        <v>6</v>
      </c>
      <c r="F38">
        <v>70</v>
      </c>
      <c r="G38">
        <v>2625</v>
      </c>
    </row>
    <row r="39" spans="1:7" x14ac:dyDescent="0.35">
      <c r="A39" s="2">
        <v>46116</v>
      </c>
      <c r="B39" t="s">
        <v>76</v>
      </c>
      <c r="C39" t="s">
        <v>85</v>
      </c>
      <c r="D39" t="s">
        <v>41</v>
      </c>
      <c r="E39" t="s">
        <v>6</v>
      </c>
      <c r="F39">
        <v>69</v>
      </c>
      <c r="G39">
        <v>3135</v>
      </c>
    </row>
    <row r="40" spans="1:7" x14ac:dyDescent="0.35">
      <c r="A40" s="2">
        <v>46116</v>
      </c>
      <c r="B40" t="s">
        <v>76</v>
      </c>
      <c r="C40" t="s">
        <v>86</v>
      </c>
      <c r="D40" t="s">
        <v>41</v>
      </c>
      <c r="E40" t="s">
        <v>6</v>
      </c>
      <c r="F40">
        <v>70</v>
      </c>
      <c r="G40">
        <v>1750</v>
      </c>
    </row>
    <row r="41" spans="1:7" x14ac:dyDescent="0.35">
      <c r="A41" s="2">
        <v>46116</v>
      </c>
      <c r="B41" t="s">
        <v>76</v>
      </c>
      <c r="C41" t="s">
        <v>74</v>
      </c>
      <c r="D41" t="s">
        <v>41</v>
      </c>
      <c r="E41" t="s">
        <v>6</v>
      </c>
      <c r="F41">
        <v>55</v>
      </c>
      <c r="G41">
        <v>1565</v>
      </c>
    </row>
    <row r="42" spans="1:7" x14ac:dyDescent="0.35">
      <c r="A42" s="2">
        <v>46116</v>
      </c>
      <c r="B42" t="s">
        <v>76</v>
      </c>
      <c r="C42" t="s">
        <v>74</v>
      </c>
      <c r="D42" t="s">
        <v>41</v>
      </c>
      <c r="E42" t="s">
        <v>6</v>
      </c>
      <c r="F42">
        <v>60</v>
      </c>
      <c r="G42">
        <v>1985</v>
      </c>
    </row>
    <row r="43" spans="1:7" x14ac:dyDescent="0.35">
      <c r="A43" s="2">
        <v>46116</v>
      </c>
      <c r="B43" t="s">
        <v>77</v>
      </c>
      <c r="C43" t="s">
        <v>74</v>
      </c>
      <c r="D43" t="s">
        <v>41</v>
      </c>
      <c r="E43" t="s">
        <v>83</v>
      </c>
      <c r="F43">
        <v>47</v>
      </c>
      <c r="G43">
        <v>740</v>
      </c>
    </row>
    <row r="44" spans="1:7" x14ac:dyDescent="0.35">
      <c r="A44" s="2">
        <v>46116</v>
      </c>
      <c r="B44" t="s">
        <v>77</v>
      </c>
      <c r="C44" t="s">
        <v>74</v>
      </c>
      <c r="D44" t="s">
        <v>41</v>
      </c>
      <c r="E44" t="s">
        <v>83</v>
      </c>
      <c r="F44">
        <v>51</v>
      </c>
      <c r="G44">
        <v>765</v>
      </c>
    </row>
    <row r="45" spans="1:7" x14ac:dyDescent="0.35">
      <c r="A45" s="2">
        <v>46116</v>
      </c>
      <c r="B45" t="s">
        <v>77</v>
      </c>
      <c r="C45" t="s">
        <v>74</v>
      </c>
      <c r="D45" t="s">
        <v>41</v>
      </c>
      <c r="E45" t="s">
        <v>83</v>
      </c>
      <c r="F45">
        <v>48</v>
      </c>
      <c r="G45">
        <v>810</v>
      </c>
    </row>
    <row r="46" spans="1:7" x14ac:dyDescent="0.35">
      <c r="A46" s="2">
        <v>46116</v>
      </c>
      <c r="B46" t="s">
        <v>77</v>
      </c>
      <c r="C46" t="s">
        <v>74</v>
      </c>
      <c r="D46" t="s">
        <v>41</v>
      </c>
      <c r="E46" t="s">
        <v>83</v>
      </c>
      <c r="F46">
        <v>58</v>
      </c>
      <c r="G46">
        <v>995</v>
      </c>
    </row>
    <row r="47" spans="1:7" x14ac:dyDescent="0.35">
      <c r="A47" s="2">
        <v>46116</v>
      </c>
      <c r="B47" t="s">
        <v>77</v>
      </c>
      <c r="C47" t="s">
        <v>74</v>
      </c>
      <c r="D47" t="s">
        <v>41</v>
      </c>
      <c r="E47" t="s">
        <v>83</v>
      </c>
      <c r="F47">
        <v>45</v>
      </c>
      <c r="G47">
        <v>580</v>
      </c>
    </row>
    <row r="48" spans="1:7" x14ac:dyDescent="0.35">
      <c r="A48" s="2">
        <v>46116</v>
      </c>
      <c r="B48" t="s">
        <v>77</v>
      </c>
      <c r="C48" t="s">
        <v>86</v>
      </c>
      <c r="D48" t="s">
        <v>41</v>
      </c>
      <c r="E48" t="s">
        <v>6</v>
      </c>
      <c r="F48">
        <v>46</v>
      </c>
      <c r="G48">
        <v>900</v>
      </c>
    </row>
    <row r="49" spans="1:9" x14ac:dyDescent="0.35">
      <c r="A49" s="2">
        <v>46116</v>
      </c>
      <c r="B49" t="s">
        <v>77</v>
      </c>
      <c r="C49" t="s">
        <v>74</v>
      </c>
      <c r="D49" t="s">
        <v>41</v>
      </c>
      <c r="E49" t="s">
        <v>6</v>
      </c>
      <c r="F49">
        <v>56</v>
      </c>
      <c r="G49">
        <v>1375</v>
      </c>
    </row>
    <row r="50" spans="1:9" x14ac:dyDescent="0.35">
      <c r="A50" s="2">
        <v>46116</v>
      </c>
      <c r="B50" t="s">
        <v>78</v>
      </c>
      <c r="C50" t="s">
        <v>74</v>
      </c>
      <c r="D50" t="s">
        <v>41</v>
      </c>
      <c r="E50" t="s">
        <v>83</v>
      </c>
      <c r="F50">
        <v>39</v>
      </c>
      <c r="G50">
        <v>145</v>
      </c>
    </row>
    <row r="51" spans="1:9" x14ac:dyDescent="0.35">
      <c r="A51" s="2">
        <v>46116</v>
      </c>
      <c r="B51" t="s">
        <v>78</v>
      </c>
      <c r="C51" t="s">
        <v>85</v>
      </c>
      <c r="D51" t="s">
        <v>41</v>
      </c>
      <c r="E51" t="s">
        <v>79</v>
      </c>
      <c r="F51">
        <v>67</v>
      </c>
      <c r="G51">
        <v>2570</v>
      </c>
    </row>
    <row r="52" spans="1:9" x14ac:dyDescent="0.35">
      <c r="A52" s="2">
        <v>46116</v>
      </c>
      <c r="B52" t="s">
        <v>78</v>
      </c>
      <c r="C52" t="s">
        <v>74</v>
      </c>
      <c r="D52" t="s">
        <v>41</v>
      </c>
      <c r="E52" t="s">
        <v>83</v>
      </c>
      <c r="F52">
        <v>41</v>
      </c>
      <c r="G52">
        <v>490</v>
      </c>
    </row>
    <row r="53" spans="1:9" x14ac:dyDescent="0.35">
      <c r="A53" s="2">
        <v>46116</v>
      </c>
      <c r="B53" t="s">
        <v>42</v>
      </c>
      <c r="C53" t="s">
        <v>86</v>
      </c>
      <c r="D53" t="s">
        <v>41</v>
      </c>
      <c r="E53" t="s">
        <v>6</v>
      </c>
      <c r="F53">
        <v>104</v>
      </c>
      <c r="G53">
        <v>11680</v>
      </c>
    </row>
    <row r="54" spans="1:9" x14ac:dyDescent="0.35">
      <c r="A54" s="2">
        <v>46142</v>
      </c>
      <c r="B54" t="s">
        <v>42</v>
      </c>
      <c r="C54" t="s">
        <v>86</v>
      </c>
      <c r="D54" t="s">
        <v>41</v>
      </c>
      <c r="E54" t="s">
        <v>52</v>
      </c>
      <c r="F54">
        <v>54</v>
      </c>
      <c r="G54">
        <v>760</v>
      </c>
    </row>
    <row r="55" spans="1:9" x14ac:dyDescent="0.35">
      <c r="A55" s="2">
        <v>46150</v>
      </c>
      <c r="B55" t="s">
        <v>44</v>
      </c>
      <c r="C55" t="s">
        <v>85</v>
      </c>
      <c r="D55" t="s">
        <v>41</v>
      </c>
      <c r="E55" t="s">
        <v>6</v>
      </c>
      <c r="F55">
        <v>63</v>
      </c>
      <c r="G55">
        <v>2300</v>
      </c>
    </row>
    <row r="56" spans="1:9" x14ac:dyDescent="0.35">
      <c r="A56" s="2">
        <v>46150</v>
      </c>
      <c r="B56" t="s">
        <v>44</v>
      </c>
      <c r="C56" t="s">
        <v>86</v>
      </c>
      <c r="D56" t="s">
        <v>40</v>
      </c>
      <c r="E56" t="s">
        <v>83</v>
      </c>
      <c r="F56">
        <v>32</v>
      </c>
      <c r="G56">
        <v>230</v>
      </c>
    </row>
    <row r="57" spans="1:9" x14ac:dyDescent="0.35">
      <c r="A57" s="2">
        <v>46150</v>
      </c>
      <c r="B57" t="s">
        <v>44</v>
      </c>
      <c r="C57" t="s">
        <v>86</v>
      </c>
      <c r="D57" t="s">
        <v>40</v>
      </c>
      <c r="E57" t="s">
        <v>83</v>
      </c>
      <c r="F57">
        <v>45</v>
      </c>
      <c r="G57">
        <v>660</v>
      </c>
      <c r="I57" t="s">
        <v>8</v>
      </c>
    </row>
    <row r="58" spans="1:9" x14ac:dyDescent="0.35">
      <c r="A58" s="2">
        <v>46158</v>
      </c>
      <c r="B58" t="s">
        <v>42</v>
      </c>
      <c r="D58" t="s">
        <v>41</v>
      </c>
      <c r="E58" t="s">
        <v>51</v>
      </c>
    </row>
    <row r="59" spans="1:9" x14ac:dyDescent="0.35">
      <c r="A59" s="2">
        <v>46159</v>
      </c>
      <c r="B59" t="s">
        <v>42</v>
      </c>
      <c r="C59" t="s">
        <v>86</v>
      </c>
      <c r="D59" t="s">
        <v>40</v>
      </c>
      <c r="E59" t="s">
        <v>83</v>
      </c>
      <c r="F59">
        <v>45</v>
      </c>
      <c r="G59">
        <v>800</v>
      </c>
    </row>
    <row r="60" spans="1:9" x14ac:dyDescent="0.35">
      <c r="A60" s="2">
        <v>46159</v>
      </c>
      <c r="B60" t="s">
        <v>42</v>
      </c>
      <c r="C60" t="s">
        <v>81</v>
      </c>
      <c r="D60" t="s">
        <v>40</v>
      </c>
      <c r="E60" t="s">
        <v>83</v>
      </c>
      <c r="F60">
        <v>48</v>
      </c>
      <c r="G60">
        <v>815</v>
      </c>
    </row>
    <row r="61" spans="1:9" x14ac:dyDescent="0.35">
      <c r="A61" s="2">
        <v>46162</v>
      </c>
      <c r="B61" t="s">
        <v>42</v>
      </c>
      <c r="C61" t="s">
        <v>86</v>
      </c>
      <c r="D61" t="s">
        <v>88</v>
      </c>
      <c r="E61" t="s">
        <v>83</v>
      </c>
      <c r="F61">
        <v>47</v>
      </c>
      <c r="G61">
        <v>840</v>
      </c>
    </row>
    <row r="62" spans="1:9" x14ac:dyDescent="0.35">
      <c r="A62" s="2">
        <v>46162</v>
      </c>
      <c r="B62" t="s">
        <v>42</v>
      </c>
      <c r="C62" t="s">
        <v>86</v>
      </c>
      <c r="D62" t="s">
        <v>88</v>
      </c>
      <c r="E62" t="s">
        <v>83</v>
      </c>
      <c r="F62">
        <v>46</v>
      </c>
      <c r="G62">
        <v>823</v>
      </c>
    </row>
    <row r="63" spans="1:9" x14ac:dyDescent="0.35">
      <c r="A63" s="2">
        <v>46162</v>
      </c>
      <c r="B63" t="s">
        <v>42</v>
      </c>
      <c r="C63" t="s">
        <v>86</v>
      </c>
      <c r="D63" t="s">
        <v>88</v>
      </c>
      <c r="E63" t="s">
        <v>83</v>
      </c>
      <c r="F63">
        <v>40</v>
      </c>
      <c r="G63">
        <v>500</v>
      </c>
    </row>
    <row r="64" spans="1:9" x14ac:dyDescent="0.35">
      <c r="A64" s="2">
        <v>46162</v>
      </c>
      <c r="B64" t="s">
        <v>42</v>
      </c>
      <c r="C64" t="s">
        <v>87</v>
      </c>
      <c r="D64" t="s">
        <v>88</v>
      </c>
      <c r="E64" t="s">
        <v>83</v>
      </c>
      <c r="F64">
        <v>49</v>
      </c>
      <c r="G64">
        <v>867</v>
      </c>
      <c r="I64" t="s">
        <v>8</v>
      </c>
    </row>
    <row r="65" spans="1:9" x14ac:dyDescent="0.35">
      <c r="A65" s="2">
        <v>46172</v>
      </c>
      <c r="B65" t="s">
        <v>89</v>
      </c>
      <c r="C65" t="s">
        <v>93</v>
      </c>
      <c r="D65" t="s">
        <v>40</v>
      </c>
      <c r="E65" t="s">
        <v>83</v>
      </c>
      <c r="F65">
        <v>45</v>
      </c>
      <c r="G65">
        <v>600</v>
      </c>
    </row>
    <row r="66" spans="1:9" x14ac:dyDescent="0.35">
      <c r="A66" s="2">
        <v>46172</v>
      </c>
      <c r="B66" t="s">
        <v>89</v>
      </c>
      <c r="C66" t="s">
        <v>93</v>
      </c>
      <c r="D66" t="s">
        <v>40</v>
      </c>
      <c r="E66" t="s">
        <v>83</v>
      </c>
      <c r="F66">
        <v>47</v>
      </c>
    </row>
    <row r="67" spans="1:9" x14ac:dyDescent="0.35">
      <c r="A67" s="2">
        <v>46172</v>
      </c>
      <c r="B67" t="s">
        <v>89</v>
      </c>
      <c r="C67" t="s">
        <v>95</v>
      </c>
      <c r="D67" t="s">
        <v>40</v>
      </c>
      <c r="E67" t="s">
        <v>83</v>
      </c>
      <c r="F67">
        <v>45</v>
      </c>
    </row>
    <row r="68" spans="1:9" x14ac:dyDescent="0.35">
      <c r="A68" s="2">
        <v>46172</v>
      </c>
      <c r="B68" t="s">
        <v>89</v>
      </c>
      <c r="C68" t="s">
        <v>95</v>
      </c>
      <c r="D68" t="s">
        <v>40</v>
      </c>
      <c r="E68" t="s">
        <v>83</v>
      </c>
      <c r="F68">
        <v>45</v>
      </c>
    </row>
    <row r="69" spans="1:9" x14ac:dyDescent="0.35">
      <c r="A69" s="2">
        <v>46172</v>
      </c>
      <c r="B69" t="s">
        <v>89</v>
      </c>
      <c r="C69" t="s">
        <v>95</v>
      </c>
      <c r="D69" t="s">
        <v>40</v>
      </c>
      <c r="E69" t="s">
        <v>83</v>
      </c>
      <c r="F69">
        <v>48</v>
      </c>
    </row>
    <row r="70" spans="1:9" x14ac:dyDescent="0.35">
      <c r="A70" s="2">
        <v>46172</v>
      </c>
      <c r="B70" t="s">
        <v>89</v>
      </c>
      <c r="C70" t="s">
        <v>93</v>
      </c>
      <c r="D70" t="s">
        <v>40</v>
      </c>
      <c r="E70" t="s">
        <v>6</v>
      </c>
      <c r="F70">
        <v>45</v>
      </c>
      <c r="I70" t="s">
        <v>8</v>
      </c>
    </row>
    <row r="71" spans="1:9" x14ac:dyDescent="0.35">
      <c r="A71" s="2">
        <v>46172</v>
      </c>
      <c r="B71" t="s">
        <v>89</v>
      </c>
      <c r="C71" t="s">
        <v>86</v>
      </c>
      <c r="D71" t="s">
        <v>41</v>
      </c>
      <c r="E71" t="s">
        <v>6</v>
      </c>
      <c r="F71">
        <v>43</v>
      </c>
      <c r="I71" t="s">
        <v>8</v>
      </c>
    </row>
    <row r="72" spans="1:9" x14ac:dyDescent="0.35">
      <c r="A72" s="2">
        <v>46172</v>
      </c>
      <c r="B72" t="s">
        <v>89</v>
      </c>
      <c r="C72" t="s">
        <v>94</v>
      </c>
      <c r="D72" t="s">
        <v>41</v>
      </c>
      <c r="E72" t="s">
        <v>6</v>
      </c>
      <c r="F72">
        <v>67</v>
      </c>
    </row>
    <row r="73" spans="1:9" x14ac:dyDescent="0.35">
      <c r="A73" s="2">
        <v>46172</v>
      </c>
      <c r="B73" t="s">
        <v>89</v>
      </c>
      <c r="C73" t="s">
        <v>85</v>
      </c>
      <c r="D73" t="s">
        <v>40</v>
      </c>
      <c r="E73" t="s">
        <v>6</v>
      </c>
      <c r="F73">
        <v>70</v>
      </c>
      <c r="G73">
        <v>3400</v>
      </c>
      <c r="I73" t="s">
        <v>8</v>
      </c>
    </row>
    <row r="74" spans="1:9" x14ac:dyDescent="0.35">
      <c r="A74" s="2">
        <v>46172</v>
      </c>
      <c r="B74" t="s">
        <v>90</v>
      </c>
      <c r="C74" t="s">
        <v>94</v>
      </c>
      <c r="D74" t="s">
        <v>41</v>
      </c>
      <c r="E74" t="s">
        <v>6</v>
      </c>
      <c r="F74">
        <v>64</v>
      </c>
    </row>
    <row r="75" spans="1:9" x14ac:dyDescent="0.35">
      <c r="A75" s="2">
        <v>46172</v>
      </c>
      <c r="B75" t="s">
        <v>90</v>
      </c>
      <c r="C75" t="s">
        <v>94</v>
      </c>
      <c r="D75" t="s">
        <v>41</v>
      </c>
      <c r="E75" t="s">
        <v>6</v>
      </c>
      <c r="F75">
        <v>75</v>
      </c>
      <c r="G75">
        <v>4600</v>
      </c>
    </row>
    <row r="76" spans="1:9" x14ac:dyDescent="0.35">
      <c r="A76" s="2">
        <v>46172</v>
      </c>
      <c r="B76" t="s">
        <v>44</v>
      </c>
      <c r="C76" t="s">
        <v>95</v>
      </c>
      <c r="D76" t="s">
        <v>41</v>
      </c>
      <c r="E76" t="s">
        <v>6</v>
      </c>
      <c r="F76">
        <v>55</v>
      </c>
      <c r="G76">
        <v>1300</v>
      </c>
    </row>
    <row r="77" spans="1:9" x14ac:dyDescent="0.35">
      <c r="A77" s="2">
        <v>46173</v>
      </c>
      <c r="B77" t="s">
        <v>44</v>
      </c>
      <c r="C77" t="s">
        <v>94</v>
      </c>
      <c r="D77" t="s">
        <v>41</v>
      </c>
      <c r="E77" t="s">
        <v>6</v>
      </c>
      <c r="F77">
        <v>57</v>
      </c>
    </row>
    <row r="78" spans="1:9" x14ac:dyDescent="0.35">
      <c r="A78" s="2">
        <v>46173</v>
      </c>
      <c r="B78" t="s">
        <v>44</v>
      </c>
      <c r="C78" t="s">
        <v>94</v>
      </c>
      <c r="D78" t="s">
        <v>96</v>
      </c>
      <c r="E78" t="s">
        <v>68</v>
      </c>
      <c r="F78">
        <v>104</v>
      </c>
      <c r="G78">
        <v>13000</v>
      </c>
    </row>
    <row r="79" spans="1:9" x14ac:dyDescent="0.35">
      <c r="A79" s="2">
        <v>46173</v>
      </c>
      <c r="B79" t="s">
        <v>54</v>
      </c>
      <c r="C79" t="s">
        <v>93</v>
      </c>
      <c r="D79" t="s">
        <v>60</v>
      </c>
      <c r="E79" t="s">
        <v>52</v>
      </c>
      <c r="F79">
        <v>35</v>
      </c>
      <c r="I79" t="s">
        <v>8</v>
      </c>
    </row>
    <row r="80" spans="1:9" x14ac:dyDescent="0.35">
      <c r="A80" s="2">
        <v>46173</v>
      </c>
      <c r="B80" t="s">
        <v>91</v>
      </c>
      <c r="C80" t="s">
        <v>95</v>
      </c>
      <c r="D80" t="s">
        <v>41</v>
      </c>
      <c r="E80" t="s">
        <v>79</v>
      </c>
      <c r="F80">
        <v>68</v>
      </c>
      <c r="G80">
        <v>3000</v>
      </c>
    </row>
    <row r="81" spans="1:10" x14ac:dyDescent="0.35">
      <c r="A81" s="2">
        <v>46173</v>
      </c>
      <c r="B81" s="9" t="s">
        <v>42</v>
      </c>
      <c r="C81" t="s">
        <v>93</v>
      </c>
      <c r="D81" t="s">
        <v>60</v>
      </c>
      <c r="E81" t="s">
        <v>52</v>
      </c>
      <c r="F81">
        <v>68</v>
      </c>
      <c r="G81">
        <v>1500</v>
      </c>
    </row>
    <row r="82" spans="1:10" x14ac:dyDescent="0.35">
      <c r="A82" s="2">
        <v>46187</v>
      </c>
      <c r="B82" s="9" t="s">
        <v>97</v>
      </c>
      <c r="C82" t="s">
        <v>86</v>
      </c>
      <c r="D82" t="s">
        <v>60</v>
      </c>
      <c r="E82" t="s">
        <v>52</v>
      </c>
      <c r="F82">
        <v>80</v>
      </c>
      <c r="G82">
        <v>3150</v>
      </c>
    </row>
    <row r="83" spans="1:10" x14ac:dyDescent="0.35">
      <c r="A83" s="2">
        <v>46187</v>
      </c>
      <c r="B83" s="9" t="s">
        <v>97</v>
      </c>
      <c r="C83" t="s">
        <v>86</v>
      </c>
      <c r="D83" t="s">
        <v>60</v>
      </c>
      <c r="E83" t="s">
        <v>61</v>
      </c>
      <c r="F83">
        <v>74</v>
      </c>
      <c r="G83">
        <v>4400</v>
      </c>
    </row>
    <row r="84" spans="1:10" x14ac:dyDescent="0.35">
      <c r="A84" s="2">
        <v>46187</v>
      </c>
      <c r="B84" s="9" t="s">
        <v>97</v>
      </c>
      <c r="C84" t="s">
        <v>86</v>
      </c>
      <c r="D84" t="s">
        <v>60</v>
      </c>
      <c r="E84" t="s">
        <v>61</v>
      </c>
      <c r="F84">
        <v>55</v>
      </c>
    </row>
    <row r="85" spans="1:10" x14ac:dyDescent="0.35">
      <c r="A85" s="2">
        <v>46200</v>
      </c>
      <c r="B85" s="9" t="s">
        <v>97</v>
      </c>
      <c r="C85" t="s">
        <v>100</v>
      </c>
      <c r="D85" t="s">
        <v>60</v>
      </c>
      <c r="E85" t="s">
        <v>6</v>
      </c>
      <c r="F85">
        <v>56</v>
      </c>
      <c r="G85">
        <v>1300</v>
      </c>
    </row>
    <row r="86" spans="1:10" x14ac:dyDescent="0.35">
      <c r="A86" s="2">
        <v>46200</v>
      </c>
      <c r="B86" s="9" t="s">
        <v>97</v>
      </c>
      <c r="C86" t="s">
        <v>100</v>
      </c>
      <c r="D86" t="s">
        <v>40</v>
      </c>
      <c r="E86" t="s">
        <v>79</v>
      </c>
      <c r="F86">
        <v>54</v>
      </c>
      <c r="G86">
        <v>1650</v>
      </c>
    </row>
    <row r="87" spans="1:10" x14ac:dyDescent="0.35">
      <c r="A87" s="2">
        <v>46200</v>
      </c>
      <c r="B87" s="9" t="s">
        <v>97</v>
      </c>
      <c r="C87" t="s">
        <v>86</v>
      </c>
      <c r="D87" t="s">
        <v>60</v>
      </c>
      <c r="E87" t="s">
        <v>6</v>
      </c>
      <c r="F87">
        <v>54</v>
      </c>
      <c r="G87">
        <v>1350</v>
      </c>
    </row>
    <row r="88" spans="1:10" x14ac:dyDescent="0.35">
      <c r="A88" s="2">
        <v>46200</v>
      </c>
      <c r="B88" s="9" t="s">
        <v>97</v>
      </c>
      <c r="C88" t="s">
        <v>86</v>
      </c>
      <c r="D88" t="s">
        <v>60</v>
      </c>
      <c r="E88" t="s">
        <v>52</v>
      </c>
      <c r="F88">
        <v>48</v>
      </c>
      <c r="G88">
        <v>465</v>
      </c>
      <c r="I88" t="s">
        <v>8</v>
      </c>
    </row>
    <row r="89" spans="1:10" x14ac:dyDescent="0.35">
      <c r="A89" s="2">
        <v>46210</v>
      </c>
      <c r="B89" s="9" t="s">
        <v>44</v>
      </c>
      <c r="C89" t="s">
        <v>86</v>
      </c>
      <c r="D89" t="s">
        <v>60</v>
      </c>
      <c r="E89" t="s">
        <v>6</v>
      </c>
      <c r="F89">
        <v>95</v>
      </c>
      <c r="G89">
        <v>9000</v>
      </c>
    </row>
    <row r="90" spans="1:10" x14ac:dyDescent="0.35">
      <c r="A90" s="2">
        <v>46210</v>
      </c>
      <c r="B90" t="s">
        <v>44</v>
      </c>
      <c r="C90" t="s">
        <v>86</v>
      </c>
      <c r="D90" t="s">
        <v>41</v>
      </c>
      <c r="E90" t="s">
        <v>6</v>
      </c>
      <c r="F90">
        <v>84.5</v>
      </c>
      <c r="G90">
        <v>5000</v>
      </c>
    </row>
    <row r="91" spans="1:10" x14ac:dyDescent="0.35">
      <c r="A91" s="2">
        <v>46210</v>
      </c>
      <c r="B91" t="s">
        <v>44</v>
      </c>
      <c r="C91" t="s">
        <v>86</v>
      </c>
      <c r="D91" t="s">
        <v>41</v>
      </c>
      <c r="E91" t="s">
        <v>83</v>
      </c>
    </row>
    <row r="92" spans="1:10" x14ac:dyDescent="0.35">
      <c r="A92" s="2">
        <v>46223</v>
      </c>
      <c r="B92" t="s">
        <v>42</v>
      </c>
      <c r="C92" t="s">
        <v>101</v>
      </c>
      <c r="D92" t="s">
        <v>41</v>
      </c>
      <c r="E92" t="s">
        <v>6</v>
      </c>
      <c r="F92">
        <v>82</v>
      </c>
      <c r="G92">
        <v>4400</v>
      </c>
      <c r="J92" t="s">
        <v>106</v>
      </c>
    </row>
    <row r="93" spans="1:10" x14ac:dyDescent="0.35">
      <c r="A93" s="2">
        <v>46223</v>
      </c>
      <c r="B93" t="s">
        <v>42</v>
      </c>
      <c r="C93" t="s">
        <v>101</v>
      </c>
      <c r="D93" t="s">
        <v>41</v>
      </c>
      <c r="E93" t="s">
        <v>52</v>
      </c>
      <c r="F93">
        <v>55</v>
      </c>
      <c r="G93">
        <v>700</v>
      </c>
      <c r="I93" t="s">
        <v>8</v>
      </c>
    </row>
    <row r="94" spans="1:10" x14ac:dyDescent="0.35">
      <c r="A94" s="2">
        <v>46223</v>
      </c>
      <c r="B94" t="s">
        <v>44</v>
      </c>
      <c r="C94" t="s">
        <v>85</v>
      </c>
      <c r="D94" t="s">
        <v>40</v>
      </c>
      <c r="E94" t="s">
        <v>83</v>
      </c>
    </row>
    <row r="95" spans="1:10" x14ac:dyDescent="0.35">
      <c r="A95" s="2">
        <v>46223</v>
      </c>
      <c r="B95" t="s">
        <v>44</v>
      </c>
      <c r="C95" t="s">
        <v>85</v>
      </c>
      <c r="D95" t="s">
        <v>40</v>
      </c>
      <c r="E95" t="s">
        <v>83</v>
      </c>
    </row>
    <row r="96" spans="1:10" x14ac:dyDescent="0.35">
      <c r="A96" s="2">
        <v>46223</v>
      </c>
      <c r="B96" t="s">
        <v>98</v>
      </c>
      <c r="C96" t="s">
        <v>102</v>
      </c>
      <c r="D96" t="s">
        <v>40</v>
      </c>
      <c r="E96" t="s">
        <v>83</v>
      </c>
      <c r="F96">
        <v>54</v>
      </c>
      <c r="G96">
        <v>1120</v>
      </c>
    </row>
    <row r="97" spans="1:10" x14ac:dyDescent="0.35">
      <c r="A97" s="2">
        <v>46223</v>
      </c>
      <c r="B97" t="s">
        <v>98</v>
      </c>
      <c r="C97" t="s">
        <v>86</v>
      </c>
      <c r="D97" t="s">
        <v>40</v>
      </c>
      <c r="E97" t="s">
        <v>6</v>
      </c>
      <c r="F97">
        <v>87</v>
      </c>
      <c r="G97">
        <v>5800</v>
      </c>
      <c r="J97" t="s">
        <v>107</v>
      </c>
    </row>
    <row r="98" spans="1:10" x14ac:dyDescent="0.35">
      <c r="A98" s="2">
        <v>46223</v>
      </c>
      <c r="B98" t="s">
        <v>98</v>
      </c>
      <c r="C98" t="s">
        <v>101</v>
      </c>
      <c r="D98" t="s">
        <v>40</v>
      </c>
      <c r="E98" t="s">
        <v>6</v>
      </c>
      <c r="F98">
        <v>73</v>
      </c>
      <c r="G98">
        <v>3900</v>
      </c>
      <c r="I98" t="s">
        <v>8</v>
      </c>
    </row>
    <row r="99" spans="1:10" x14ac:dyDescent="0.35">
      <c r="A99" s="2">
        <v>46223</v>
      </c>
      <c r="B99" t="s">
        <v>98</v>
      </c>
      <c r="C99" t="s">
        <v>101</v>
      </c>
      <c r="D99" t="s">
        <v>40</v>
      </c>
      <c r="E99" t="s">
        <v>83</v>
      </c>
      <c r="F99">
        <v>53</v>
      </c>
      <c r="G99">
        <v>1060</v>
      </c>
      <c r="J99" t="s">
        <v>108</v>
      </c>
    </row>
    <row r="100" spans="1:10" x14ac:dyDescent="0.35">
      <c r="A100" s="2">
        <v>46227</v>
      </c>
      <c r="B100" t="s">
        <v>44</v>
      </c>
      <c r="C100" t="s">
        <v>105</v>
      </c>
      <c r="D100" t="s">
        <v>41</v>
      </c>
      <c r="E100" t="s">
        <v>83</v>
      </c>
      <c r="F100">
        <v>35</v>
      </c>
      <c r="G100">
        <v>350</v>
      </c>
    </row>
    <row r="101" spans="1:10" x14ac:dyDescent="0.35">
      <c r="A101" s="2">
        <v>46227</v>
      </c>
      <c r="B101" t="s">
        <v>44</v>
      </c>
      <c r="C101" t="s">
        <v>105</v>
      </c>
      <c r="D101" t="s">
        <v>41</v>
      </c>
      <c r="E101" t="s">
        <v>83</v>
      </c>
      <c r="F101">
        <v>32</v>
      </c>
      <c r="G101">
        <v>300</v>
      </c>
    </row>
    <row r="102" spans="1:10" x14ac:dyDescent="0.35">
      <c r="A102" s="2">
        <v>46227</v>
      </c>
      <c r="B102" t="s">
        <v>44</v>
      </c>
      <c r="C102" t="s">
        <v>105</v>
      </c>
      <c r="D102" t="s">
        <v>41</v>
      </c>
      <c r="E102" t="s">
        <v>83</v>
      </c>
      <c r="F102">
        <v>34</v>
      </c>
    </row>
    <row r="103" spans="1:10" x14ac:dyDescent="0.35">
      <c r="A103" s="2">
        <v>46227</v>
      </c>
      <c r="B103" t="s">
        <v>44</v>
      </c>
      <c r="C103" t="s">
        <v>105</v>
      </c>
      <c r="D103" t="s">
        <v>41</v>
      </c>
      <c r="E103" t="s">
        <v>83</v>
      </c>
      <c r="F103">
        <v>35</v>
      </c>
    </row>
    <row r="104" spans="1:10" x14ac:dyDescent="0.35">
      <c r="A104" s="2">
        <v>46227</v>
      </c>
      <c r="B104" t="s">
        <v>44</v>
      </c>
      <c r="C104" t="s">
        <v>105</v>
      </c>
      <c r="D104" t="s">
        <v>41</v>
      </c>
      <c r="E104" t="s">
        <v>83</v>
      </c>
      <c r="F104">
        <v>38</v>
      </c>
      <c r="G104">
        <v>410</v>
      </c>
    </row>
    <row r="105" spans="1:10" x14ac:dyDescent="0.35">
      <c r="A105" s="2">
        <v>46227</v>
      </c>
      <c r="B105" t="s">
        <v>44</v>
      </c>
      <c r="C105" t="s">
        <v>105</v>
      </c>
      <c r="D105" t="s">
        <v>41</v>
      </c>
      <c r="E105" t="s">
        <v>83</v>
      </c>
      <c r="F105">
        <v>37</v>
      </c>
      <c r="G105">
        <v>375</v>
      </c>
    </row>
    <row r="106" spans="1:10" x14ac:dyDescent="0.35">
      <c r="A106" s="2">
        <v>46227</v>
      </c>
      <c r="B106" t="s">
        <v>44</v>
      </c>
      <c r="C106" t="s">
        <v>105</v>
      </c>
      <c r="D106" t="s">
        <v>41</v>
      </c>
      <c r="E106" t="s">
        <v>83</v>
      </c>
      <c r="I106" t="s">
        <v>8</v>
      </c>
    </row>
    <row r="107" spans="1:10" x14ac:dyDescent="0.35">
      <c r="A107" s="2">
        <v>46227</v>
      </c>
      <c r="B107" t="s">
        <v>44</v>
      </c>
      <c r="C107" t="s">
        <v>105</v>
      </c>
      <c r="D107" t="s">
        <v>41</v>
      </c>
      <c r="E107" t="s">
        <v>83</v>
      </c>
      <c r="I107" t="s">
        <v>8</v>
      </c>
    </row>
    <row r="108" spans="1:10" x14ac:dyDescent="0.35">
      <c r="A108" s="2">
        <v>46227</v>
      </c>
      <c r="B108" t="s">
        <v>44</v>
      </c>
      <c r="C108" t="s">
        <v>105</v>
      </c>
      <c r="D108" t="s">
        <v>41</v>
      </c>
      <c r="E108" t="s">
        <v>83</v>
      </c>
      <c r="I108" t="s">
        <v>8</v>
      </c>
    </row>
    <row r="109" spans="1:10" x14ac:dyDescent="0.35">
      <c r="A109" s="2">
        <v>46227</v>
      </c>
      <c r="B109" t="s">
        <v>44</v>
      </c>
      <c r="C109" t="s">
        <v>105</v>
      </c>
      <c r="D109" t="s">
        <v>41</v>
      </c>
      <c r="E109" t="s">
        <v>83</v>
      </c>
      <c r="I109" t="s">
        <v>8</v>
      </c>
    </row>
    <row r="110" spans="1:10" x14ac:dyDescent="0.35">
      <c r="A110" s="2">
        <v>46227</v>
      </c>
      <c r="B110" t="s">
        <v>44</v>
      </c>
      <c r="C110" t="s">
        <v>105</v>
      </c>
      <c r="D110" t="s">
        <v>41</v>
      </c>
      <c r="E110" t="s">
        <v>83</v>
      </c>
      <c r="I110" t="s">
        <v>8</v>
      </c>
    </row>
    <row r="111" spans="1:10" x14ac:dyDescent="0.35">
      <c r="A111" s="2">
        <v>46227</v>
      </c>
      <c r="B111" t="s">
        <v>44</v>
      </c>
      <c r="C111" t="s">
        <v>105</v>
      </c>
      <c r="D111" t="s">
        <v>41</v>
      </c>
      <c r="E111" t="s">
        <v>83</v>
      </c>
      <c r="I111" t="s">
        <v>8</v>
      </c>
    </row>
    <row r="112" spans="1:10" x14ac:dyDescent="0.35">
      <c r="A112" s="2">
        <v>46227</v>
      </c>
      <c r="B112" t="s">
        <v>44</v>
      </c>
      <c r="C112" t="s">
        <v>105</v>
      </c>
      <c r="D112" t="s">
        <v>41</v>
      </c>
      <c r="E112" t="s">
        <v>52</v>
      </c>
      <c r="F112">
        <v>54</v>
      </c>
      <c r="G112">
        <v>750</v>
      </c>
    </row>
    <row r="113" spans="1:10" x14ac:dyDescent="0.35">
      <c r="A113" s="2">
        <v>46227</v>
      </c>
      <c r="B113" t="s">
        <v>44</v>
      </c>
      <c r="C113" t="s">
        <v>105</v>
      </c>
      <c r="D113" t="s">
        <v>96</v>
      </c>
      <c r="E113" t="s">
        <v>6</v>
      </c>
      <c r="F113">
        <v>95</v>
      </c>
      <c r="G113">
        <v>8900</v>
      </c>
      <c r="J113" t="s">
        <v>66</v>
      </c>
    </row>
    <row r="114" spans="1:10" x14ac:dyDescent="0.35">
      <c r="A114" s="2">
        <v>46227</v>
      </c>
      <c r="B114" t="s">
        <v>44</v>
      </c>
      <c r="C114" t="s">
        <v>104</v>
      </c>
      <c r="D114" t="s">
        <v>40</v>
      </c>
      <c r="E114" t="s">
        <v>103</v>
      </c>
      <c r="F114">
        <v>45</v>
      </c>
      <c r="G114">
        <v>650</v>
      </c>
    </row>
    <row r="115" spans="1:10" x14ac:dyDescent="0.35">
      <c r="A115" s="2">
        <v>46227</v>
      </c>
      <c r="B115" t="s">
        <v>44</v>
      </c>
      <c r="C115" t="s">
        <v>105</v>
      </c>
      <c r="D115" t="s">
        <v>96</v>
      </c>
      <c r="E115" t="s">
        <v>68</v>
      </c>
      <c r="F115">
        <v>94</v>
      </c>
      <c r="G115">
        <v>8950</v>
      </c>
      <c r="J115" t="s">
        <v>109</v>
      </c>
    </row>
    <row r="116" spans="1:10" x14ac:dyDescent="0.35">
      <c r="A116" s="2">
        <v>46227</v>
      </c>
      <c r="B116" t="s">
        <v>44</v>
      </c>
      <c r="C116" t="s">
        <v>104</v>
      </c>
      <c r="D116" t="s">
        <v>40</v>
      </c>
      <c r="E116" t="s">
        <v>103</v>
      </c>
      <c r="F116">
        <v>45</v>
      </c>
      <c r="G116">
        <v>650</v>
      </c>
    </row>
    <row r="117" spans="1:10" x14ac:dyDescent="0.35">
      <c r="A117" s="2">
        <v>46227</v>
      </c>
      <c r="B117" t="s">
        <v>44</v>
      </c>
      <c r="C117" t="s">
        <v>104</v>
      </c>
      <c r="D117" t="s">
        <v>40</v>
      </c>
      <c r="E117" t="s">
        <v>83</v>
      </c>
      <c r="F117">
        <v>50</v>
      </c>
    </row>
    <row r="118" spans="1:10" x14ac:dyDescent="0.35">
      <c r="A118" s="2">
        <v>46227</v>
      </c>
      <c r="B118" t="s">
        <v>44</v>
      </c>
      <c r="C118" t="s">
        <v>104</v>
      </c>
      <c r="D118" t="s">
        <v>40</v>
      </c>
      <c r="E118" t="s">
        <v>83</v>
      </c>
      <c r="F118">
        <v>35</v>
      </c>
      <c r="G118">
        <v>360</v>
      </c>
      <c r="I118" t="s">
        <v>8</v>
      </c>
    </row>
    <row r="119" spans="1:10" x14ac:dyDescent="0.35">
      <c r="A119" s="2">
        <v>46243</v>
      </c>
      <c r="B119" t="s">
        <v>110</v>
      </c>
      <c r="C119" t="s">
        <v>85</v>
      </c>
      <c r="D119" t="s">
        <v>41</v>
      </c>
      <c r="E119" t="s">
        <v>83</v>
      </c>
      <c r="F119">
        <v>26</v>
      </c>
      <c r="G119">
        <v>95</v>
      </c>
    </row>
    <row r="120" spans="1:10" x14ac:dyDescent="0.35">
      <c r="A120" s="2">
        <v>46243</v>
      </c>
      <c r="B120" t="s">
        <v>110</v>
      </c>
      <c r="C120" t="s">
        <v>116</v>
      </c>
      <c r="D120" t="s">
        <v>41</v>
      </c>
      <c r="E120" t="s">
        <v>79</v>
      </c>
      <c r="F120">
        <v>71</v>
      </c>
      <c r="G120">
        <v>3000</v>
      </c>
    </row>
    <row r="121" spans="1:10" x14ac:dyDescent="0.35">
      <c r="A121" s="2">
        <v>46243</v>
      </c>
      <c r="B121" t="s">
        <v>54</v>
      </c>
      <c r="C121" t="s">
        <v>86</v>
      </c>
      <c r="D121" t="s">
        <v>41</v>
      </c>
      <c r="E121" t="s">
        <v>83</v>
      </c>
      <c r="F121">
        <v>37</v>
      </c>
      <c r="G121">
        <v>520</v>
      </c>
    </row>
    <row r="122" spans="1:10" x14ac:dyDescent="0.35">
      <c r="A122" s="2">
        <v>46246</v>
      </c>
      <c r="B122" t="s">
        <v>112</v>
      </c>
      <c r="C122" t="s">
        <v>86</v>
      </c>
      <c r="D122" t="s">
        <v>41</v>
      </c>
      <c r="E122" t="s">
        <v>52</v>
      </c>
      <c r="F122">
        <v>58</v>
      </c>
      <c r="G122">
        <v>830</v>
      </c>
      <c r="H122" t="s">
        <v>119</v>
      </c>
    </row>
    <row r="123" spans="1:10" x14ac:dyDescent="0.35">
      <c r="A123" s="2">
        <v>46246</v>
      </c>
      <c r="B123" t="s">
        <v>112</v>
      </c>
      <c r="C123" t="s">
        <v>116</v>
      </c>
      <c r="D123" t="s">
        <v>41</v>
      </c>
      <c r="E123" t="s">
        <v>79</v>
      </c>
      <c r="F123">
        <v>62</v>
      </c>
      <c r="G123">
        <v>1750</v>
      </c>
      <c r="H123" t="s">
        <v>119</v>
      </c>
    </row>
    <row r="124" spans="1:10" x14ac:dyDescent="0.35">
      <c r="A124" s="2">
        <v>46246</v>
      </c>
      <c r="B124" t="s">
        <v>113</v>
      </c>
      <c r="C124" t="s">
        <v>116</v>
      </c>
      <c r="D124" t="s">
        <v>41</v>
      </c>
      <c r="E124" t="s">
        <v>83</v>
      </c>
      <c r="F124">
        <v>26</v>
      </c>
      <c r="G124">
        <v>175</v>
      </c>
      <c r="H124" t="s">
        <v>119</v>
      </c>
    </row>
    <row r="125" spans="1:10" x14ac:dyDescent="0.35">
      <c r="A125" s="2">
        <v>46246</v>
      </c>
      <c r="B125" t="s">
        <v>115</v>
      </c>
      <c r="C125" t="s">
        <v>116</v>
      </c>
      <c r="D125" t="s">
        <v>41</v>
      </c>
      <c r="E125" t="s">
        <v>6</v>
      </c>
      <c r="F125">
        <v>60</v>
      </c>
      <c r="G125">
        <v>2000</v>
      </c>
      <c r="I125" t="s">
        <v>8</v>
      </c>
    </row>
    <row r="126" spans="1:10" x14ac:dyDescent="0.35">
      <c r="A126" s="2">
        <v>46247</v>
      </c>
      <c r="B126" t="s">
        <v>44</v>
      </c>
      <c r="C126" t="s">
        <v>86</v>
      </c>
      <c r="D126" t="s">
        <v>41</v>
      </c>
      <c r="E126" t="s">
        <v>6</v>
      </c>
      <c r="F126">
        <v>73</v>
      </c>
      <c r="G126">
        <v>4080</v>
      </c>
      <c r="J126" t="s">
        <v>117</v>
      </c>
    </row>
    <row r="127" spans="1:10" x14ac:dyDescent="0.35">
      <c r="A127" s="2">
        <v>46247</v>
      </c>
      <c r="B127" t="s">
        <v>42</v>
      </c>
      <c r="C127" t="s">
        <v>86</v>
      </c>
      <c r="D127" t="s">
        <v>40</v>
      </c>
      <c r="E127" t="s">
        <v>103</v>
      </c>
      <c r="F127">
        <v>37</v>
      </c>
      <c r="G127">
        <v>480</v>
      </c>
    </row>
    <row r="128" spans="1:10" x14ac:dyDescent="0.35">
      <c r="A128" s="2">
        <v>46247</v>
      </c>
      <c r="B128" t="s">
        <v>42</v>
      </c>
      <c r="C128" t="s">
        <v>86</v>
      </c>
      <c r="D128" t="s">
        <v>40</v>
      </c>
      <c r="E128" t="s">
        <v>103</v>
      </c>
      <c r="F128">
        <v>38</v>
      </c>
      <c r="G128">
        <v>490</v>
      </c>
    </row>
    <row r="129" spans="1:10" x14ac:dyDescent="0.35">
      <c r="A129" s="2">
        <v>46248</v>
      </c>
      <c r="B129" t="s">
        <v>44</v>
      </c>
      <c r="C129" t="s">
        <v>86</v>
      </c>
      <c r="D129" t="s">
        <v>96</v>
      </c>
      <c r="E129" t="s">
        <v>6</v>
      </c>
      <c r="F129">
        <v>76</v>
      </c>
      <c r="G129">
        <v>4200</v>
      </c>
      <c r="J129" t="s">
        <v>66</v>
      </c>
    </row>
    <row r="130" spans="1:10" x14ac:dyDescent="0.35">
      <c r="A130" s="2">
        <v>46248</v>
      </c>
      <c r="B130" t="s">
        <v>44</v>
      </c>
      <c r="C130" t="s">
        <v>116</v>
      </c>
      <c r="D130" t="s">
        <v>40</v>
      </c>
      <c r="E130" t="s">
        <v>83</v>
      </c>
      <c r="F130">
        <v>46</v>
      </c>
      <c r="G130">
        <v>760</v>
      </c>
    </row>
    <row r="131" spans="1:10" x14ac:dyDescent="0.35">
      <c r="A131" s="2">
        <v>46248</v>
      </c>
      <c r="B131" t="s">
        <v>44</v>
      </c>
      <c r="C131" t="s">
        <v>116</v>
      </c>
      <c r="D131" t="s">
        <v>40</v>
      </c>
      <c r="E131" t="s">
        <v>103</v>
      </c>
      <c r="F131">
        <v>31</v>
      </c>
      <c r="G131">
        <v>230</v>
      </c>
    </row>
    <row r="132" spans="1:10" x14ac:dyDescent="0.35">
      <c r="A132" s="2">
        <v>46248</v>
      </c>
      <c r="B132" t="s">
        <v>44</v>
      </c>
      <c r="C132" t="s">
        <v>116</v>
      </c>
      <c r="D132" t="s">
        <v>40</v>
      </c>
      <c r="E132" t="s">
        <v>103</v>
      </c>
      <c r="F132">
        <v>32</v>
      </c>
      <c r="G132">
        <v>240</v>
      </c>
    </row>
    <row r="133" spans="1:10" x14ac:dyDescent="0.35">
      <c r="A133" s="2">
        <v>46251</v>
      </c>
      <c r="B133" t="s">
        <v>42</v>
      </c>
      <c r="C133" t="s">
        <v>128</v>
      </c>
      <c r="D133" t="s">
        <v>40</v>
      </c>
      <c r="E133" t="s">
        <v>103</v>
      </c>
      <c r="F133">
        <v>37</v>
      </c>
      <c r="G133">
        <v>650</v>
      </c>
    </row>
    <row r="134" spans="1:10" x14ac:dyDescent="0.35">
      <c r="A134" s="2">
        <v>46251</v>
      </c>
      <c r="B134" t="s">
        <v>42</v>
      </c>
      <c r="C134" t="s">
        <v>128</v>
      </c>
      <c r="D134" t="s">
        <v>40</v>
      </c>
      <c r="E134" t="s">
        <v>103</v>
      </c>
      <c r="F134">
        <v>32</v>
      </c>
      <c r="G134">
        <v>275</v>
      </c>
    </row>
    <row r="135" spans="1:10" x14ac:dyDescent="0.35">
      <c r="A135" s="2">
        <v>46251</v>
      </c>
      <c r="B135" t="s">
        <v>42</v>
      </c>
      <c r="C135" t="s">
        <v>129</v>
      </c>
      <c r="D135" t="s">
        <v>40</v>
      </c>
      <c r="E135" t="s">
        <v>103</v>
      </c>
      <c r="F135">
        <v>32</v>
      </c>
      <c r="G135">
        <v>325</v>
      </c>
    </row>
    <row r="136" spans="1:10" x14ac:dyDescent="0.35">
      <c r="A136" s="2">
        <v>46251</v>
      </c>
      <c r="B136" t="s">
        <v>42</v>
      </c>
      <c r="C136" t="s">
        <v>129</v>
      </c>
      <c r="D136" t="s">
        <v>40</v>
      </c>
      <c r="E136" t="s">
        <v>83</v>
      </c>
      <c r="F136">
        <v>38</v>
      </c>
      <c r="G136">
        <v>405</v>
      </c>
    </row>
    <row r="137" spans="1:10" x14ac:dyDescent="0.35">
      <c r="A137" s="2">
        <v>46251</v>
      </c>
      <c r="B137" t="s">
        <v>42</v>
      </c>
      <c r="C137" t="s">
        <v>129</v>
      </c>
      <c r="D137" t="s">
        <v>40</v>
      </c>
      <c r="E137" t="s">
        <v>103</v>
      </c>
      <c r="F137">
        <v>35</v>
      </c>
      <c r="G137">
        <v>360</v>
      </c>
    </row>
    <row r="138" spans="1:10" x14ac:dyDescent="0.35">
      <c r="A138" s="2">
        <v>46251</v>
      </c>
      <c r="B138" t="s">
        <v>42</v>
      </c>
      <c r="C138" t="s">
        <v>130</v>
      </c>
      <c r="D138" t="s">
        <v>40</v>
      </c>
      <c r="E138" t="s">
        <v>83</v>
      </c>
      <c r="F138">
        <v>40</v>
      </c>
      <c r="G138">
        <v>675</v>
      </c>
    </row>
    <row r="139" spans="1:10" x14ac:dyDescent="0.35">
      <c r="A139" s="2">
        <v>46251</v>
      </c>
      <c r="B139" t="s">
        <v>42</v>
      </c>
      <c r="C139" t="s">
        <v>130</v>
      </c>
      <c r="D139" t="s">
        <v>40</v>
      </c>
      <c r="E139" t="s">
        <v>83</v>
      </c>
      <c r="F139">
        <v>50</v>
      </c>
      <c r="G139">
        <v>1250</v>
      </c>
    </row>
    <row r="140" spans="1:10" x14ac:dyDescent="0.35">
      <c r="A140" s="2">
        <v>46251</v>
      </c>
      <c r="B140" t="s">
        <v>42</v>
      </c>
      <c r="C140" t="s">
        <v>128</v>
      </c>
      <c r="D140" t="s">
        <v>40</v>
      </c>
      <c r="E140" t="s">
        <v>6</v>
      </c>
      <c r="F140">
        <v>59</v>
      </c>
      <c r="G140">
        <v>1880</v>
      </c>
    </row>
    <row r="141" spans="1:10" x14ac:dyDescent="0.35">
      <c r="A141" s="2">
        <v>46251</v>
      </c>
      <c r="B141" t="s">
        <v>44</v>
      </c>
      <c r="C141" t="s">
        <v>129</v>
      </c>
      <c r="D141" t="s">
        <v>40</v>
      </c>
      <c r="E141" t="s">
        <v>103</v>
      </c>
      <c r="F141">
        <v>32</v>
      </c>
      <c r="G141">
        <v>285</v>
      </c>
    </row>
    <row r="142" spans="1:10" x14ac:dyDescent="0.35">
      <c r="A142" s="2">
        <v>46251</v>
      </c>
      <c r="B142" t="s">
        <v>44</v>
      </c>
      <c r="C142" t="s">
        <v>129</v>
      </c>
      <c r="D142" t="s">
        <v>40</v>
      </c>
      <c r="E142" t="s">
        <v>103</v>
      </c>
      <c r="F142">
        <v>41.5</v>
      </c>
      <c r="G142">
        <v>765</v>
      </c>
    </row>
    <row r="143" spans="1:10" x14ac:dyDescent="0.35">
      <c r="A143" s="2">
        <v>46251</v>
      </c>
      <c r="B143" t="s">
        <v>44</v>
      </c>
      <c r="C143" t="s">
        <v>129</v>
      </c>
      <c r="D143" t="s">
        <v>40</v>
      </c>
      <c r="E143" t="s">
        <v>103</v>
      </c>
      <c r="F143">
        <v>30</v>
      </c>
      <c r="I143" t="s">
        <v>8</v>
      </c>
    </row>
    <row r="144" spans="1:10" x14ac:dyDescent="0.35">
      <c r="A144" s="2">
        <v>46251</v>
      </c>
      <c r="B144" t="s">
        <v>44</v>
      </c>
      <c r="C144" t="s">
        <v>129</v>
      </c>
      <c r="D144" t="s">
        <v>40</v>
      </c>
      <c r="E144" t="s">
        <v>103</v>
      </c>
      <c r="F144">
        <v>30</v>
      </c>
      <c r="I144" t="s">
        <v>8</v>
      </c>
    </row>
    <row r="145" spans="1:10" x14ac:dyDescent="0.35">
      <c r="A145" s="2">
        <v>46251</v>
      </c>
      <c r="B145" t="s">
        <v>44</v>
      </c>
      <c r="C145" t="s">
        <v>129</v>
      </c>
      <c r="D145" t="s">
        <v>40</v>
      </c>
      <c r="E145" t="s">
        <v>103</v>
      </c>
      <c r="F145">
        <v>30</v>
      </c>
      <c r="I145" t="s">
        <v>8</v>
      </c>
    </row>
    <row r="146" spans="1:10" x14ac:dyDescent="0.35">
      <c r="A146" s="2">
        <v>46251</v>
      </c>
      <c r="B146" t="s">
        <v>44</v>
      </c>
      <c r="C146" t="s">
        <v>128</v>
      </c>
      <c r="D146" t="s">
        <v>40</v>
      </c>
      <c r="E146" t="s">
        <v>103</v>
      </c>
      <c r="F146">
        <v>30</v>
      </c>
      <c r="I146" t="s">
        <v>8</v>
      </c>
    </row>
    <row r="147" spans="1:10" x14ac:dyDescent="0.35">
      <c r="A147" s="2">
        <v>46251</v>
      </c>
      <c r="B147" t="s">
        <v>44</v>
      </c>
      <c r="C147" t="s">
        <v>128</v>
      </c>
      <c r="D147" t="s">
        <v>40</v>
      </c>
      <c r="E147" t="s">
        <v>6</v>
      </c>
      <c r="F147">
        <v>76</v>
      </c>
      <c r="G147">
        <v>2850</v>
      </c>
    </row>
    <row r="148" spans="1:10" x14ac:dyDescent="0.35">
      <c r="A148" s="2">
        <v>46257</v>
      </c>
      <c r="B148" t="s">
        <v>110</v>
      </c>
      <c r="C148" t="s">
        <v>131</v>
      </c>
      <c r="D148" t="s">
        <v>40</v>
      </c>
      <c r="E148" t="s">
        <v>79</v>
      </c>
      <c r="F148">
        <v>48</v>
      </c>
      <c r="G148">
        <v>1000</v>
      </c>
      <c r="J148" t="s">
        <v>135</v>
      </c>
    </row>
    <row r="149" spans="1:10" x14ac:dyDescent="0.35">
      <c r="A149" s="2">
        <v>46257</v>
      </c>
      <c r="B149" t="s">
        <v>110</v>
      </c>
      <c r="C149" t="s">
        <v>133</v>
      </c>
      <c r="D149" t="s">
        <v>40</v>
      </c>
      <c r="E149" t="s">
        <v>103</v>
      </c>
      <c r="F149">
        <v>26</v>
      </c>
      <c r="G149">
        <v>55</v>
      </c>
      <c r="H149" t="s">
        <v>60</v>
      </c>
    </row>
    <row r="150" spans="1:10" x14ac:dyDescent="0.35">
      <c r="A150" s="2">
        <v>46257</v>
      </c>
      <c r="B150" t="s">
        <v>123</v>
      </c>
      <c r="C150" t="s">
        <v>133</v>
      </c>
      <c r="D150" t="s">
        <v>40</v>
      </c>
      <c r="E150" t="s">
        <v>6</v>
      </c>
      <c r="F150">
        <v>38</v>
      </c>
      <c r="G150">
        <v>445</v>
      </c>
      <c r="I150" t="s">
        <v>8</v>
      </c>
    </row>
    <row r="151" spans="1:10" x14ac:dyDescent="0.35">
      <c r="A151" s="2">
        <v>46257</v>
      </c>
      <c r="B151" t="s">
        <v>123</v>
      </c>
      <c r="C151" t="s">
        <v>131</v>
      </c>
      <c r="D151" t="s">
        <v>40</v>
      </c>
      <c r="E151" t="s">
        <v>83</v>
      </c>
      <c r="F151">
        <v>51</v>
      </c>
      <c r="G151">
        <v>1170</v>
      </c>
      <c r="J151" t="s">
        <v>136</v>
      </c>
    </row>
    <row r="152" spans="1:10" x14ac:dyDescent="0.35">
      <c r="A152" s="2">
        <v>46257</v>
      </c>
      <c r="B152" t="s">
        <v>123</v>
      </c>
      <c r="C152" t="s">
        <v>132</v>
      </c>
      <c r="D152" t="s">
        <v>40</v>
      </c>
      <c r="E152" t="s">
        <v>103</v>
      </c>
      <c r="F152">
        <v>40</v>
      </c>
      <c r="G152">
        <v>510</v>
      </c>
    </row>
    <row r="153" spans="1:10" x14ac:dyDescent="0.35">
      <c r="A153" s="2">
        <v>46257</v>
      </c>
      <c r="B153" t="s">
        <v>123</v>
      </c>
      <c r="C153" t="s">
        <v>133</v>
      </c>
      <c r="D153" t="s">
        <v>40</v>
      </c>
      <c r="E153" t="s">
        <v>79</v>
      </c>
      <c r="F153">
        <v>61</v>
      </c>
      <c r="G153">
        <v>1000</v>
      </c>
      <c r="I153" t="s">
        <v>8</v>
      </c>
    </row>
    <row r="154" spans="1:10" x14ac:dyDescent="0.35">
      <c r="A154" s="2">
        <v>46257</v>
      </c>
      <c r="B154" t="s">
        <v>123</v>
      </c>
      <c r="C154" t="s">
        <v>132</v>
      </c>
      <c r="D154" t="s">
        <v>40</v>
      </c>
      <c r="E154" t="s">
        <v>6</v>
      </c>
      <c r="F154">
        <v>41</v>
      </c>
      <c r="G154">
        <v>750</v>
      </c>
      <c r="I154" t="s">
        <v>8</v>
      </c>
    </row>
    <row r="155" spans="1:10" x14ac:dyDescent="0.35">
      <c r="A155" s="2">
        <v>46257</v>
      </c>
      <c r="B155" t="s">
        <v>123</v>
      </c>
      <c r="C155" t="s">
        <v>131</v>
      </c>
      <c r="D155" t="s">
        <v>40</v>
      </c>
      <c r="E155" t="s">
        <v>83</v>
      </c>
      <c r="F155">
        <v>56</v>
      </c>
      <c r="G155">
        <v>1600</v>
      </c>
      <c r="J155" t="s">
        <v>66</v>
      </c>
    </row>
    <row r="156" spans="1:10" x14ac:dyDescent="0.35">
      <c r="A156" s="2">
        <v>46257</v>
      </c>
      <c r="B156" t="s">
        <v>123</v>
      </c>
      <c r="C156" t="s">
        <v>134</v>
      </c>
      <c r="D156" t="s">
        <v>40</v>
      </c>
      <c r="E156" t="s">
        <v>79</v>
      </c>
      <c r="F156">
        <v>57</v>
      </c>
      <c r="G156">
        <v>1415</v>
      </c>
      <c r="I156" t="s">
        <v>8</v>
      </c>
    </row>
    <row r="157" spans="1:10" x14ac:dyDescent="0.35">
      <c r="A157" s="2">
        <v>46257</v>
      </c>
      <c r="B157" t="s">
        <v>123</v>
      </c>
      <c r="C157" t="s">
        <v>132</v>
      </c>
      <c r="D157" t="s">
        <v>40</v>
      </c>
      <c r="E157" t="s">
        <v>79</v>
      </c>
      <c r="F157">
        <v>52</v>
      </c>
      <c r="G157">
        <v>1400</v>
      </c>
      <c r="I157" t="s">
        <v>8</v>
      </c>
    </row>
    <row r="158" spans="1:10" x14ac:dyDescent="0.35">
      <c r="A158" s="2">
        <v>46257</v>
      </c>
      <c r="B158" t="s">
        <v>123</v>
      </c>
      <c r="C158" t="s">
        <v>132</v>
      </c>
      <c r="D158" t="s">
        <v>40</v>
      </c>
      <c r="E158" t="s">
        <v>83</v>
      </c>
      <c r="F158">
        <v>55</v>
      </c>
      <c r="G158">
        <v>1605</v>
      </c>
      <c r="I158" t="s">
        <v>8</v>
      </c>
    </row>
    <row r="159" spans="1:10" x14ac:dyDescent="0.35">
      <c r="A159" s="2">
        <v>46257</v>
      </c>
      <c r="B159" t="s">
        <v>123</v>
      </c>
      <c r="C159" t="s">
        <v>131</v>
      </c>
      <c r="D159" t="s">
        <v>40</v>
      </c>
      <c r="E159" t="s">
        <v>83</v>
      </c>
      <c r="F159">
        <v>48</v>
      </c>
      <c r="G159">
        <v>1003</v>
      </c>
      <c r="I159" t="s">
        <v>8</v>
      </c>
    </row>
    <row r="160" spans="1:10" x14ac:dyDescent="0.35">
      <c r="A160" s="2">
        <v>46257</v>
      </c>
      <c r="B160" t="s">
        <v>123</v>
      </c>
      <c r="C160" t="s">
        <v>131</v>
      </c>
      <c r="D160" t="s">
        <v>40</v>
      </c>
      <c r="E160" t="s">
        <v>83</v>
      </c>
      <c r="F160">
        <v>28</v>
      </c>
      <c r="G160">
        <v>225</v>
      </c>
      <c r="H160" t="s">
        <v>60</v>
      </c>
    </row>
    <row r="161" spans="1:10" x14ac:dyDescent="0.35">
      <c r="A161" s="2">
        <v>46257</v>
      </c>
      <c r="B161" t="s">
        <v>54</v>
      </c>
      <c r="C161" t="s">
        <v>132</v>
      </c>
      <c r="D161" t="s">
        <v>40</v>
      </c>
      <c r="E161" t="s">
        <v>6</v>
      </c>
      <c r="F161">
        <v>58</v>
      </c>
      <c r="G161">
        <v>1480</v>
      </c>
      <c r="H161" t="s">
        <v>119</v>
      </c>
      <c r="J161" t="s">
        <v>138</v>
      </c>
    </row>
    <row r="162" spans="1:10" x14ac:dyDescent="0.35">
      <c r="A162" s="2">
        <v>46257</v>
      </c>
      <c r="B162" t="s">
        <v>54</v>
      </c>
      <c r="C162" t="s">
        <v>131</v>
      </c>
      <c r="D162" t="s">
        <v>40</v>
      </c>
      <c r="E162" t="s">
        <v>83</v>
      </c>
      <c r="F162">
        <v>57</v>
      </c>
      <c r="G162">
        <v>1455</v>
      </c>
      <c r="I162" t="s">
        <v>8</v>
      </c>
    </row>
    <row r="163" spans="1:10" x14ac:dyDescent="0.35">
      <c r="A163" s="2">
        <v>46257</v>
      </c>
      <c r="B163" t="s">
        <v>54</v>
      </c>
      <c r="C163" t="s">
        <v>131</v>
      </c>
      <c r="D163" t="s">
        <v>96</v>
      </c>
      <c r="E163" t="s">
        <v>68</v>
      </c>
      <c r="F163">
        <v>109</v>
      </c>
      <c r="G163">
        <v>14830</v>
      </c>
    </row>
    <row r="164" spans="1:10" x14ac:dyDescent="0.35">
      <c r="A164" s="2">
        <v>46257</v>
      </c>
      <c r="B164" t="s">
        <v>54</v>
      </c>
      <c r="C164" t="s">
        <v>131</v>
      </c>
      <c r="D164" t="s">
        <v>40</v>
      </c>
      <c r="E164" t="s">
        <v>137</v>
      </c>
      <c r="F164">
        <v>36</v>
      </c>
      <c r="G164">
        <v>420</v>
      </c>
      <c r="I164" t="s">
        <v>8</v>
      </c>
    </row>
    <row r="165" spans="1:10" x14ac:dyDescent="0.35">
      <c r="A165" s="2">
        <v>46257</v>
      </c>
      <c r="B165" t="s">
        <v>54</v>
      </c>
      <c r="C165" t="s">
        <v>132</v>
      </c>
      <c r="D165" t="s">
        <v>96</v>
      </c>
      <c r="E165" t="s">
        <v>68</v>
      </c>
      <c r="F165">
        <v>70</v>
      </c>
      <c r="G165">
        <v>3000</v>
      </c>
      <c r="I165" t="s">
        <v>8</v>
      </c>
    </row>
    <row r="166" spans="1:10" x14ac:dyDescent="0.35">
      <c r="A166" s="2">
        <v>46257</v>
      </c>
      <c r="B166" t="s">
        <v>54</v>
      </c>
      <c r="C166" t="s">
        <v>132</v>
      </c>
      <c r="D166" t="s">
        <v>40</v>
      </c>
      <c r="E166" t="s">
        <v>79</v>
      </c>
      <c r="F166">
        <v>57</v>
      </c>
      <c r="G166">
        <v>1601</v>
      </c>
      <c r="I166" t="s">
        <v>8</v>
      </c>
    </row>
    <row r="167" spans="1:10" x14ac:dyDescent="0.35">
      <c r="A167" s="2">
        <v>46257</v>
      </c>
      <c r="B167" t="s">
        <v>54</v>
      </c>
      <c r="C167" t="s">
        <v>131</v>
      </c>
      <c r="D167" t="s">
        <v>40</v>
      </c>
      <c r="E167" t="s">
        <v>79</v>
      </c>
      <c r="F167">
        <v>74</v>
      </c>
      <c r="G167">
        <v>2105</v>
      </c>
    </row>
    <row r="168" spans="1:10" x14ac:dyDescent="0.35">
      <c r="A168" s="2">
        <v>46257</v>
      </c>
      <c r="B168" t="s">
        <v>54</v>
      </c>
      <c r="C168" t="s">
        <v>132</v>
      </c>
      <c r="D168" t="s">
        <v>40</v>
      </c>
      <c r="E168" t="s">
        <v>79</v>
      </c>
      <c r="F168">
        <v>59</v>
      </c>
      <c r="G168">
        <v>1870</v>
      </c>
      <c r="I168" t="s">
        <v>8</v>
      </c>
    </row>
    <row r="169" spans="1:10" x14ac:dyDescent="0.35">
      <c r="A169" s="2">
        <v>46259</v>
      </c>
      <c r="B169" t="s">
        <v>97</v>
      </c>
      <c r="C169" t="s">
        <v>86</v>
      </c>
      <c r="D169" t="s">
        <v>60</v>
      </c>
      <c r="E169" t="s">
        <v>83</v>
      </c>
      <c r="F169">
        <v>63</v>
      </c>
      <c r="G169">
        <v>2040</v>
      </c>
    </row>
    <row r="170" spans="1:10" x14ac:dyDescent="0.35">
      <c r="A170" s="2">
        <v>46259</v>
      </c>
      <c r="B170" t="s">
        <v>97</v>
      </c>
      <c r="C170" t="s">
        <v>132</v>
      </c>
      <c r="D170" t="s">
        <v>41</v>
      </c>
      <c r="E170" t="s">
        <v>6</v>
      </c>
      <c r="F170">
        <v>69</v>
      </c>
      <c r="G170">
        <v>2600</v>
      </c>
      <c r="I170" t="s">
        <v>8</v>
      </c>
    </row>
    <row r="171" spans="1:10" x14ac:dyDescent="0.35">
      <c r="A171" s="2">
        <v>46259</v>
      </c>
      <c r="B171" t="s">
        <v>97</v>
      </c>
      <c r="C171" t="s">
        <v>132</v>
      </c>
      <c r="D171" t="s">
        <v>40</v>
      </c>
      <c r="E171" t="s">
        <v>83</v>
      </c>
      <c r="F171">
        <v>66</v>
      </c>
      <c r="G171">
        <v>2150</v>
      </c>
    </row>
    <row r="172" spans="1:10" x14ac:dyDescent="0.35">
      <c r="A172" s="2">
        <v>46259</v>
      </c>
      <c r="B172" t="s">
        <v>97</v>
      </c>
      <c r="C172" t="s">
        <v>131</v>
      </c>
      <c r="D172" t="s">
        <v>40</v>
      </c>
      <c r="E172" t="s">
        <v>83</v>
      </c>
      <c r="F172">
        <v>68</v>
      </c>
      <c r="G172">
        <v>2180</v>
      </c>
    </row>
    <row r="173" spans="1:10" x14ac:dyDescent="0.35">
      <c r="A173" s="2">
        <v>46259</v>
      </c>
      <c r="B173" t="s">
        <v>97</v>
      </c>
      <c r="C173" t="s">
        <v>131</v>
      </c>
      <c r="D173" t="s">
        <v>40</v>
      </c>
      <c r="E173" t="s">
        <v>83</v>
      </c>
      <c r="F173">
        <v>67</v>
      </c>
      <c r="G173">
        <v>2200</v>
      </c>
      <c r="I173" t="s">
        <v>8</v>
      </c>
    </row>
    <row r="174" spans="1:10" x14ac:dyDescent="0.35">
      <c r="A174" s="2">
        <v>46260</v>
      </c>
      <c r="B174" t="s">
        <v>112</v>
      </c>
      <c r="C174" t="s">
        <v>131</v>
      </c>
      <c r="D174" t="s">
        <v>40</v>
      </c>
      <c r="E174" t="s">
        <v>103</v>
      </c>
      <c r="F174">
        <v>41</v>
      </c>
      <c r="G174">
        <v>550</v>
      </c>
    </row>
    <row r="175" spans="1:10" x14ac:dyDescent="0.35">
      <c r="A175" s="2">
        <v>46260</v>
      </c>
      <c r="B175" t="s">
        <v>112</v>
      </c>
      <c r="C175" t="s">
        <v>132</v>
      </c>
      <c r="D175" t="s">
        <v>40</v>
      </c>
      <c r="E175" t="s">
        <v>103</v>
      </c>
      <c r="F175">
        <v>43</v>
      </c>
      <c r="G175">
        <v>550</v>
      </c>
    </row>
    <row r="176" spans="1:10" x14ac:dyDescent="0.35">
      <c r="A176" s="2">
        <v>46260</v>
      </c>
      <c r="B176" t="s">
        <v>112</v>
      </c>
      <c r="C176" t="s">
        <v>133</v>
      </c>
      <c r="D176" t="s">
        <v>40</v>
      </c>
      <c r="E176" t="s">
        <v>103</v>
      </c>
      <c r="F176">
        <v>37</v>
      </c>
      <c r="G176">
        <v>460</v>
      </c>
    </row>
    <row r="177" spans="1:10" x14ac:dyDescent="0.35">
      <c r="A177" s="2">
        <v>46260</v>
      </c>
      <c r="B177" t="s">
        <v>112</v>
      </c>
      <c r="C177" t="s">
        <v>132</v>
      </c>
      <c r="D177" t="s">
        <v>96</v>
      </c>
      <c r="E177" t="s">
        <v>61</v>
      </c>
      <c r="F177">
        <v>55</v>
      </c>
      <c r="G177">
        <v>1785</v>
      </c>
      <c r="J177" t="s">
        <v>139</v>
      </c>
    </row>
    <row r="178" spans="1:10" x14ac:dyDescent="0.35">
      <c r="A178" s="2">
        <v>46260</v>
      </c>
      <c r="B178" t="s">
        <v>112</v>
      </c>
      <c r="C178" t="s">
        <v>131</v>
      </c>
      <c r="D178" t="s">
        <v>60</v>
      </c>
      <c r="E178" t="s">
        <v>61</v>
      </c>
      <c r="F178">
        <v>58</v>
      </c>
      <c r="G178">
        <v>2265</v>
      </c>
    </row>
    <row r="179" spans="1:10" x14ac:dyDescent="0.35">
      <c r="A179" s="2">
        <v>46260</v>
      </c>
      <c r="B179" t="s">
        <v>127</v>
      </c>
      <c r="C179" t="s">
        <v>131</v>
      </c>
      <c r="D179" t="s">
        <v>40</v>
      </c>
      <c r="E179" t="s">
        <v>79</v>
      </c>
      <c r="F179">
        <v>67</v>
      </c>
      <c r="G179">
        <v>2550</v>
      </c>
    </row>
    <row r="180" spans="1:10" x14ac:dyDescent="0.35">
      <c r="A180" s="2">
        <v>46260</v>
      </c>
      <c r="B180" t="s">
        <v>127</v>
      </c>
      <c r="C180" t="s">
        <v>131</v>
      </c>
      <c r="D180" t="s">
        <v>40</v>
      </c>
      <c r="E180" t="s">
        <v>61</v>
      </c>
      <c r="F180">
        <v>45</v>
      </c>
      <c r="G180">
        <v>900</v>
      </c>
      <c r="H180" t="s">
        <v>119</v>
      </c>
    </row>
    <row r="181" spans="1:10" x14ac:dyDescent="0.35">
      <c r="A181" s="2">
        <v>46267</v>
      </c>
      <c r="B181" t="s">
        <v>110</v>
      </c>
      <c r="C181" t="s">
        <v>142</v>
      </c>
      <c r="D181" t="s">
        <v>40</v>
      </c>
      <c r="E181" t="s">
        <v>6</v>
      </c>
      <c r="F181">
        <v>52</v>
      </c>
      <c r="G181">
        <v>1435</v>
      </c>
      <c r="I181" t="s">
        <v>8</v>
      </c>
    </row>
    <row r="182" spans="1:10" x14ac:dyDescent="0.35">
      <c r="A182" s="2">
        <v>46267</v>
      </c>
      <c r="B182" t="s">
        <v>110</v>
      </c>
      <c r="C182" t="s">
        <v>142</v>
      </c>
      <c r="D182" t="s">
        <v>40</v>
      </c>
      <c r="E182" t="s">
        <v>6</v>
      </c>
      <c r="F182">
        <v>55</v>
      </c>
      <c r="G182">
        <v>1665</v>
      </c>
      <c r="I182" t="s">
        <v>8</v>
      </c>
    </row>
    <row r="183" spans="1:10" x14ac:dyDescent="0.35">
      <c r="A183" s="2">
        <v>46267</v>
      </c>
      <c r="B183" t="s">
        <v>110</v>
      </c>
      <c r="C183" t="s">
        <v>86</v>
      </c>
      <c r="D183" t="s">
        <v>40</v>
      </c>
      <c r="E183" t="s">
        <v>6</v>
      </c>
      <c r="F183">
        <v>45</v>
      </c>
      <c r="G183">
        <v>750</v>
      </c>
      <c r="I183" t="s">
        <v>8</v>
      </c>
    </row>
    <row r="184" spans="1:10" x14ac:dyDescent="0.35">
      <c r="A184" s="2">
        <v>46267</v>
      </c>
      <c r="B184" t="s">
        <v>123</v>
      </c>
      <c r="D184" t="s">
        <v>40</v>
      </c>
      <c r="E184" t="s">
        <v>51</v>
      </c>
    </row>
    <row r="185" spans="1:10" x14ac:dyDescent="0.35">
      <c r="A185" s="2">
        <v>46267</v>
      </c>
      <c r="B185" t="s">
        <v>54</v>
      </c>
      <c r="C185" t="s">
        <v>142</v>
      </c>
      <c r="D185" t="s">
        <v>40</v>
      </c>
      <c r="E185" t="s">
        <v>103</v>
      </c>
      <c r="F185">
        <v>32</v>
      </c>
      <c r="G185">
        <v>285</v>
      </c>
      <c r="H185" t="s">
        <v>60</v>
      </c>
    </row>
    <row r="186" spans="1:10" x14ac:dyDescent="0.35">
      <c r="A186" s="2">
        <v>46267</v>
      </c>
      <c r="B186" t="s">
        <v>54</v>
      </c>
      <c r="C186" t="s">
        <v>86</v>
      </c>
      <c r="D186" t="s">
        <v>40</v>
      </c>
      <c r="E186" t="s">
        <v>103</v>
      </c>
      <c r="F186">
        <v>33</v>
      </c>
      <c r="G186">
        <v>290</v>
      </c>
      <c r="H186" t="s">
        <v>60</v>
      </c>
    </row>
    <row r="187" spans="1:10" x14ac:dyDescent="0.35">
      <c r="A187" s="2">
        <v>46267</v>
      </c>
      <c r="B187" t="s">
        <v>54</v>
      </c>
      <c r="C187" t="s">
        <v>142</v>
      </c>
      <c r="D187" t="s">
        <v>96</v>
      </c>
      <c r="E187" t="s">
        <v>68</v>
      </c>
      <c r="F187">
        <v>79</v>
      </c>
      <c r="G187">
        <v>5380</v>
      </c>
      <c r="I187" t="s">
        <v>8</v>
      </c>
    </row>
    <row r="188" spans="1:10" x14ac:dyDescent="0.35">
      <c r="A188" s="2">
        <v>46267</v>
      </c>
      <c r="B188" t="s">
        <v>54</v>
      </c>
      <c r="C188" t="s">
        <v>142</v>
      </c>
      <c r="D188" t="s">
        <v>40</v>
      </c>
      <c r="E188" t="s">
        <v>103</v>
      </c>
      <c r="F188">
        <v>31</v>
      </c>
      <c r="G188">
        <v>265</v>
      </c>
      <c r="H188" t="s">
        <v>60</v>
      </c>
    </row>
    <row r="189" spans="1:10" x14ac:dyDescent="0.35">
      <c r="A189" s="2">
        <v>46267</v>
      </c>
      <c r="B189" t="s">
        <v>54</v>
      </c>
      <c r="C189" t="s">
        <v>142</v>
      </c>
      <c r="D189" t="s">
        <v>40</v>
      </c>
      <c r="E189" t="s">
        <v>83</v>
      </c>
      <c r="F189">
        <v>39</v>
      </c>
      <c r="G189">
        <v>480</v>
      </c>
      <c r="H189" t="s">
        <v>60</v>
      </c>
    </row>
    <row r="190" spans="1:10" x14ac:dyDescent="0.35">
      <c r="A190" s="2">
        <v>46267</v>
      </c>
      <c r="B190" t="s">
        <v>54</v>
      </c>
      <c r="C190" t="s">
        <v>142</v>
      </c>
      <c r="D190" t="s">
        <v>40</v>
      </c>
      <c r="E190" t="s">
        <v>83</v>
      </c>
      <c r="F190">
        <v>33</v>
      </c>
      <c r="G190">
        <v>340</v>
      </c>
      <c r="H190" t="s">
        <v>60</v>
      </c>
    </row>
    <row r="191" spans="1:10" x14ac:dyDescent="0.35">
      <c r="A191" s="2">
        <v>46267</v>
      </c>
      <c r="B191" t="s">
        <v>54</v>
      </c>
      <c r="C191" t="s">
        <v>142</v>
      </c>
      <c r="D191" t="s">
        <v>40</v>
      </c>
      <c r="E191" t="s">
        <v>83</v>
      </c>
      <c r="F191">
        <v>63</v>
      </c>
      <c r="G191">
        <v>1705</v>
      </c>
    </row>
    <row r="192" spans="1:10" x14ac:dyDescent="0.35">
      <c r="A192" s="2">
        <v>46267</v>
      </c>
      <c r="B192" t="s">
        <v>44</v>
      </c>
      <c r="C192" t="s">
        <v>142</v>
      </c>
      <c r="D192" t="s">
        <v>40</v>
      </c>
      <c r="E192" t="s">
        <v>143</v>
      </c>
      <c r="F192">
        <v>27</v>
      </c>
      <c r="G192">
        <v>225</v>
      </c>
      <c r="H192" t="s">
        <v>119</v>
      </c>
    </row>
    <row r="193" spans="1:9" x14ac:dyDescent="0.35">
      <c r="A193" s="2">
        <v>46267</v>
      </c>
      <c r="B193" t="s">
        <v>44</v>
      </c>
      <c r="C193" t="s">
        <v>86</v>
      </c>
      <c r="D193" t="s">
        <v>40</v>
      </c>
      <c r="E193" t="s">
        <v>83</v>
      </c>
      <c r="F193">
        <v>49</v>
      </c>
      <c r="G193">
        <v>800</v>
      </c>
    </row>
    <row r="194" spans="1:9" x14ac:dyDescent="0.35">
      <c r="A194" s="2">
        <v>46267</v>
      </c>
      <c r="B194" t="s">
        <v>44</v>
      </c>
      <c r="C194" t="s">
        <v>86</v>
      </c>
      <c r="D194" t="s">
        <v>40</v>
      </c>
      <c r="E194" t="s">
        <v>83</v>
      </c>
      <c r="F194">
        <v>48</v>
      </c>
      <c r="G194">
        <v>740</v>
      </c>
    </row>
    <row r="195" spans="1:9" x14ac:dyDescent="0.35">
      <c r="A195" s="2">
        <v>46267</v>
      </c>
      <c r="B195" t="s">
        <v>44</v>
      </c>
      <c r="C195" t="s">
        <v>142</v>
      </c>
      <c r="D195" t="s">
        <v>40</v>
      </c>
      <c r="E195" t="s">
        <v>6</v>
      </c>
      <c r="F195">
        <v>51</v>
      </c>
      <c r="G195">
        <v>1150</v>
      </c>
    </row>
    <row r="196" spans="1:9" x14ac:dyDescent="0.35">
      <c r="A196" s="2">
        <v>46267</v>
      </c>
      <c r="B196" t="s">
        <v>44</v>
      </c>
      <c r="C196" t="s">
        <v>142</v>
      </c>
      <c r="D196" t="s">
        <v>40</v>
      </c>
      <c r="E196" t="s">
        <v>103</v>
      </c>
      <c r="F196">
        <v>42</v>
      </c>
      <c r="G196">
        <v>750</v>
      </c>
    </row>
    <row r="197" spans="1:9" x14ac:dyDescent="0.35">
      <c r="A197" s="2">
        <v>46269</v>
      </c>
      <c r="B197" t="s">
        <v>54</v>
      </c>
      <c r="C197" t="s">
        <v>86</v>
      </c>
      <c r="D197" t="s">
        <v>60</v>
      </c>
      <c r="E197" t="s">
        <v>137</v>
      </c>
      <c r="F197">
        <v>43</v>
      </c>
      <c r="G197">
        <v>530</v>
      </c>
    </row>
    <row r="198" spans="1:9" x14ac:dyDescent="0.35">
      <c r="A198" s="2">
        <v>46269</v>
      </c>
      <c r="B198" t="s">
        <v>141</v>
      </c>
      <c r="C198" t="s">
        <v>86</v>
      </c>
      <c r="D198" t="s">
        <v>60</v>
      </c>
      <c r="E198" t="s">
        <v>143</v>
      </c>
      <c r="F198">
        <v>48</v>
      </c>
      <c r="G198">
        <v>1300</v>
      </c>
      <c r="H198" t="s">
        <v>119</v>
      </c>
    </row>
    <row r="199" spans="1:9" x14ac:dyDescent="0.35">
      <c r="A199" s="2">
        <v>46269</v>
      </c>
      <c r="B199" t="s">
        <v>141</v>
      </c>
      <c r="C199" t="s">
        <v>142</v>
      </c>
      <c r="D199" t="s">
        <v>60</v>
      </c>
      <c r="E199" t="s">
        <v>6</v>
      </c>
      <c r="F199">
        <v>85</v>
      </c>
      <c r="G199">
        <v>4495</v>
      </c>
    </row>
    <row r="200" spans="1:9" x14ac:dyDescent="0.35">
      <c r="A200" s="2">
        <v>46269</v>
      </c>
      <c r="B200" t="s">
        <v>141</v>
      </c>
      <c r="C200" t="s">
        <v>142</v>
      </c>
      <c r="D200" t="s">
        <v>60</v>
      </c>
      <c r="E200" t="s">
        <v>83</v>
      </c>
      <c r="F200">
        <v>50</v>
      </c>
      <c r="G200">
        <v>900</v>
      </c>
      <c r="H200" t="s">
        <v>119</v>
      </c>
    </row>
    <row r="201" spans="1:9" x14ac:dyDescent="0.35">
      <c r="A201" s="2">
        <v>46269</v>
      </c>
      <c r="B201" t="s">
        <v>141</v>
      </c>
      <c r="C201" t="s">
        <v>86</v>
      </c>
      <c r="D201" t="s">
        <v>60</v>
      </c>
      <c r="E201" t="s">
        <v>83</v>
      </c>
      <c r="F201">
        <v>56</v>
      </c>
      <c r="G201">
        <v>1350</v>
      </c>
      <c r="H201" t="s">
        <v>119</v>
      </c>
    </row>
    <row r="202" spans="1:9" x14ac:dyDescent="0.35">
      <c r="A202" s="2">
        <v>46270</v>
      </c>
      <c r="B202" t="s">
        <v>44</v>
      </c>
      <c r="C202" t="s">
        <v>142</v>
      </c>
      <c r="D202" t="s">
        <v>40</v>
      </c>
      <c r="E202" t="s">
        <v>103</v>
      </c>
      <c r="F202">
        <v>41</v>
      </c>
      <c r="G202">
        <v>560</v>
      </c>
    </row>
    <row r="203" spans="1:9" x14ac:dyDescent="0.35">
      <c r="A203" s="2">
        <v>46270</v>
      </c>
      <c r="B203" t="s">
        <v>44</v>
      </c>
      <c r="C203" t="s">
        <v>142</v>
      </c>
      <c r="D203" t="s">
        <v>40</v>
      </c>
      <c r="E203" t="s">
        <v>103</v>
      </c>
      <c r="F203">
        <v>41</v>
      </c>
      <c r="G203">
        <v>620</v>
      </c>
    </row>
    <row r="204" spans="1:9" x14ac:dyDescent="0.35">
      <c r="A204" s="2">
        <v>46270</v>
      </c>
      <c r="B204" t="s">
        <v>44</v>
      </c>
      <c r="C204" t="s">
        <v>147</v>
      </c>
      <c r="D204" t="s">
        <v>40</v>
      </c>
      <c r="E204" t="s">
        <v>83</v>
      </c>
      <c r="F204">
        <v>41</v>
      </c>
      <c r="G204">
        <v>500</v>
      </c>
    </row>
    <row r="205" spans="1:9" x14ac:dyDescent="0.35">
      <c r="A205" s="2">
        <v>46270</v>
      </c>
      <c r="B205" t="s">
        <v>44</v>
      </c>
      <c r="C205" t="s">
        <v>147</v>
      </c>
      <c r="D205" t="s">
        <v>40</v>
      </c>
      <c r="E205" t="s">
        <v>83</v>
      </c>
      <c r="F205">
        <v>33</v>
      </c>
      <c r="G205">
        <v>190</v>
      </c>
    </row>
    <row r="206" spans="1:9" x14ac:dyDescent="0.35">
      <c r="A206" s="2">
        <v>46270</v>
      </c>
      <c r="B206" t="s">
        <v>44</v>
      </c>
      <c r="C206" t="s">
        <v>142</v>
      </c>
      <c r="D206" t="s">
        <v>40</v>
      </c>
      <c r="E206" t="s">
        <v>83</v>
      </c>
      <c r="F206">
        <v>32</v>
      </c>
      <c r="G206">
        <v>210</v>
      </c>
    </row>
    <row r="207" spans="1:9" x14ac:dyDescent="0.35">
      <c r="A207" s="2">
        <v>46270</v>
      </c>
      <c r="B207" t="s">
        <v>44</v>
      </c>
      <c r="C207" t="s">
        <v>146</v>
      </c>
      <c r="D207" t="s">
        <v>40</v>
      </c>
      <c r="E207" t="s">
        <v>83</v>
      </c>
      <c r="F207">
        <v>50</v>
      </c>
      <c r="G207">
        <v>820</v>
      </c>
    </row>
    <row r="208" spans="1:9" x14ac:dyDescent="0.35">
      <c r="A208" s="2">
        <v>46270</v>
      </c>
      <c r="B208" t="s">
        <v>44</v>
      </c>
      <c r="C208" t="s">
        <v>148</v>
      </c>
      <c r="D208" t="s">
        <v>40</v>
      </c>
      <c r="E208" t="s">
        <v>143</v>
      </c>
      <c r="F208">
        <v>26</v>
      </c>
      <c r="G208">
        <v>200</v>
      </c>
      <c r="I208" t="s">
        <v>8</v>
      </c>
    </row>
    <row r="209" spans="1:9" x14ac:dyDescent="0.35">
      <c r="A209" s="2">
        <v>46270</v>
      </c>
      <c r="B209" t="s">
        <v>44</v>
      </c>
      <c r="C209" t="s">
        <v>145</v>
      </c>
      <c r="D209" t="s">
        <v>40</v>
      </c>
      <c r="E209" t="s">
        <v>83</v>
      </c>
      <c r="F209">
        <v>50</v>
      </c>
      <c r="I209" t="s">
        <v>8</v>
      </c>
    </row>
    <row r="210" spans="1:9" x14ac:dyDescent="0.35">
      <c r="A210" s="2">
        <v>46270</v>
      </c>
      <c r="B210" t="s">
        <v>44</v>
      </c>
      <c r="C210" t="s">
        <v>147</v>
      </c>
      <c r="D210" t="s">
        <v>40</v>
      </c>
      <c r="E210" t="s">
        <v>83</v>
      </c>
      <c r="F210">
        <v>48</v>
      </c>
      <c r="I210" t="s">
        <v>8</v>
      </c>
    </row>
    <row r="211" spans="1:9" x14ac:dyDescent="0.35">
      <c r="A211" s="2">
        <v>46270</v>
      </c>
      <c r="B211" t="s">
        <v>44</v>
      </c>
      <c r="C211" t="s">
        <v>147</v>
      </c>
      <c r="D211" t="s">
        <v>40</v>
      </c>
      <c r="E211" t="s">
        <v>83</v>
      </c>
      <c r="F211">
        <v>44</v>
      </c>
      <c r="I211" t="s">
        <v>8</v>
      </c>
    </row>
    <row r="212" spans="1:9" x14ac:dyDescent="0.35">
      <c r="A212" s="2">
        <v>46270</v>
      </c>
      <c r="B212" t="s">
        <v>44</v>
      </c>
      <c r="C212" t="s">
        <v>148</v>
      </c>
      <c r="D212" t="s">
        <v>40</v>
      </c>
      <c r="E212" t="s">
        <v>83</v>
      </c>
      <c r="F212">
        <v>35</v>
      </c>
      <c r="I212" t="s">
        <v>8</v>
      </c>
    </row>
    <row r="213" spans="1:9" x14ac:dyDescent="0.35">
      <c r="A213" s="2">
        <v>46270</v>
      </c>
      <c r="B213" t="s">
        <v>112</v>
      </c>
      <c r="C213" t="s">
        <v>142</v>
      </c>
      <c r="D213" t="s">
        <v>40</v>
      </c>
      <c r="E213" t="s">
        <v>83</v>
      </c>
      <c r="F213">
        <v>32</v>
      </c>
      <c r="I213" t="s">
        <v>8</v>
      </c>
    </row>
    <row r="214" spans="1:9" x14ac:dyDescent="0.35">
      <c r="A214" s="2">
        <v>46270</v>
      </c>
      <c r="B214" t="s">
        <v>112</v>
      </c>
      <c r="C214" t="s">
        <v>142</v>
      </c>
      <c r="D214" t="s">
        <v>40</v>
      </c>
      <c r="E214" t="s">
        <v>103</v>
      </c>
      <c r="F214">
        <v>35</v>
      </c>
      <c r="I214" t="s">
        <v>8</v>
      </c>
    </row>
    <row r="215" spans="1:9" x14ac:dyDescent="0.35">
      <c r="A215" s="2">
        <v>46270</v>
      </c>
      <c r="B215" t="s">
        <v>112</v>
      </c>
      <c r="C215" t="s">
        <v>145</v>
      </c>
      <c r="D215" t="s">
        <v>60</v>
      </c>
      <c r="E215" t="s">
        <v>52</v>
      </c>
      <c r="F215">
        <v>49</v>
      </c>
      <c r="G215">
        <v>560</v>
      </c>
    </row>
    <row r="216" spans="1:9" x14ac:dyDescent="0.35">
      <c r="A216" s="2">
        <v>46270</v>
      </c>
      <c r="B216" t="s">
        <v>112</v>
      </c>
      <c r="C216" t="s">
        <v>147</v>
      </c>
      <c r="D216" t="s">
        <v>60</v>
      </c>
      <c r="E216" t="s">
        <v>6</v>
      </c>
      <c r="F216">
        <v>68</v>
      </c>
      <c r="G216">
        <v>2430</v>
      </c>
    </row>
    <row r="217" spans="1:9" x14ac:dyDescent="0.35">
      <c r="A217" s="2">
        <v>46270</v>
      </c>
      <c r="B217" t="s">
        <v>112</v>
      </c>
      <c r="C217" t="s">
        <v>146</v>
      </c>
      <c r="D217" t="s">
        <v>41</v>
      </c>
      <c r="E217" t="s">
        <v>6</v>
      </c>
      <c r="F217">
        <v>50</v>
      </c>
      <c r="G217">
        <v>1120</v>
      </c>
    </row>
    <row r="218" spans="1:9" x14ac:dyDescent="0.35">
      <c r="A218" s="2">
        <v>46270</v>
      </c>
      <c r="B218" t="s">
        <v>112</v>
      </c>
      <c r="C218" t="s">
        <v>148</v>
      </c>
      <c r="D218" t="s">
        <v>60</v>
      </c>
      <c r="E218" t="s">
        <v>61</v>
      </c>
      <c r="F218">
        <v>60</v>
      </c>
      <c r="G218">
        <v>1960</v>
      </c>
    </row>
    <row r="219" spans="1:9" x14ac:dyDescent="0.35">
      <c r="A219" s="2">
        <v>46270</v>
      </c>
      <c r="B219" t="s">
        <v>112</v>
      </c>
      <c r="C219" t="s">
        <v>145</v>
      </c>
      <c r="D219" t="s">
        <v>41</v>
      </c>
      <c r="E219" t="s">
        <v>61</v>
      </c>
      <c r="F219">
        <v>49</v>
      </c>
      <c r="G219">
        <v>1115</v>
      </c>
    </row>
    <row r="220" spans="1:9" x14ac:dyDescent="0.35">
      <c r="A220" s="2">
        <v>46271</v>
      </c>
      <c r="B220" t="s">
        <v>44</v>
      </c>
      <c r="C220" t="s">
        <v>146</v>
      </c>
      <c r="D220" t="s">
        <v>40</v>
      </c>
      <c r="E220" t="s">
        <v>6</v>
      </c>
      <c r="F220">
        <v>69</v>
      </c>
      <c r="G220">
        <v>2400</v>
      </c>
    </row>
    <row r="221" spans="1:9" x14ac:dyDescent="0.35">
      <c r="A221" s="2">
        <v>46271</v>
      </c>
      <c r="B221" t="s">
        <v>44</v>
      </c>
      <c r="C221" t="s">
        <v>142</v>
      </c>
      <c r="D221" t="s">
        <v>40</v>
      </c>
      <c r="E221" t="s">
        <v>6</v>
      </c>
      <c r="F221">
        <v>63</v>
      </c>
      <c r="G221">
        <v>2080</v>
      </c>
      <c r="H221" t="s">
        <v>119</v>
      </c>
    </row>
    <row r="222" spans="1:9" x14ac:dyDescent="0.35">
      <c r="A222" s="2">
        <v>46271</v>
      </c>
      <c r="B222" t="s">
        <v>44</v>
      </c>
      <c r="C222" t="s">
        <v>146</v>
      </c>
      <c r="D222" t="s">
        <v>40</v>
      </c>
      <c r="E222" t="s">
        <v>6</v>
      </c>
      <c r="F222">
        <v>55</v>
      </c>
      <c r="I222" t="s">
        <v>8</v>
      </c>
    </row>
    <row r="223" spans="1:9" x14ac:dyDescent="0.35">
      <c r="A223" s="2">
        <v>46271</v>
      </c>
      <c r="B223" t="s">
        <v>44</v>
      </c>
      <c r="C223" t="s">
        <v>145</v>
      </c>
      <c r="D223" t="s">
        <v>96</v>
      </c>
      <c r="E223" t="s">
        <v>68</v>
      </c>
      <c r="F223">
        <v>109</v>
      </c>
      <c r="G223">
        <v>16800</v>
      </c>
    </row>
    <row r="224" spans="1:9" x14ac:dyDescent="0.35">
      <c r="A224" s="2">
        <v>46271</v>
      </c>
      <c r="B224" t="s">
        <v>42</v>
      </c>
      <c r="C224" t="s">
        <v>142</v>
      </c>
      <c r="D224" t="s">
        <v>96</v>
      </c>
      <c r="E224" t="s">
        <v>6</v>
      </c>
      <c r="F224">
        <v>113</v>
      </c>
      <c r="G224">
        <v>12000</v>
      </c>
    </row>
    <row r="225" spans="1:9" x14ac:dyDescent="0.35">
      <c r="A225" s="2">
        <v>46271</v>
      </c>
      <c r="B225" t="s">
        <v>42</v>
      </c>
      <c r="C225" t="s">
        <v>147</v>
      </c>
      <c r="D225" t="s">
        <v>40</v>
      </c>
      <c r="E225" t="s">
        <v>103</v>
      </c>
      <c r="F225">
        <v>40</v>
      </c>
      <c r="I225" t="s">
        <v>8</v>
      </c>
    </row>
    <row r="226" spans="1:9" x14ac:dyDescent="0.35">
      <c r="A226" s="2">
        <v>46271</v>
      </c>
      <c r="B226" t="s">
        <v>42</v>
      </c>
      <c r="C226" t="s">
        <v>142</v>
      </c>
      <c r="D226" t="s">
        <v>40</v>
      </c>
      <c r="E226" t="s">
        <v>103</v>
      </c>
      <c r="F226">
        <v>42</v>
      </c>
      <c r="I226" t="s">
        <v>8</v>
      </c>
    </row>
    <row r="227" spans="1:9" x14ac:dyDescent="0.35">
      <c r="A227" s="2">
        <v>46271</v>
      </c>
      <c r="B227" t="s">
        <v>42</v>
      </c>
      <c r="C227" t="s">
        <v>147</v>
      </c>
      <c r="D227" t="s">
        <v>40</v>
      </c>
      <c r="E227" t="s">
        <v>103</v>
      </c>
      <c r="F227">
        <v>31</v>
      </c>
      <c r="I227" t="s">
        <v>8</v>
      </c>
    </row>
    <row r="228" spans="1:9" x14ac:dyDescent="0.35">
      <c r="A228" s="2">
        <v>46271</v>
      </c>
      <c r="B228" t="s">
        <v>42</v>
      </c>
      <c r="C228" t="s">
        <v>147</v>
      </c>
      <c r="D228" t="s">
        <v>40</v>
      </c>
      <c r="E228" t="s">
        <v>103</v>
      </c>
      <c r="F228">
        <v>33</v>
      </c>
      <c r="I228" t="s">
        <v>8</v>
      </c>
    </row>
    <row r="229" spans="1:9" x14ac:dyDescent="0.35">
      <c r="A229" s="2">
        <v>46271</v>
      </c>
      <c r="B229" t="s">
        <v>42</v>
      </c>
      <c r="C229" t="s">
        <v>142</v>
      </c>
      <c r="D229" t="s">
        <v>40</v>
      </c>
      <c r="E229" t="s">
        <v>103</v>
      </c>
      <c r="F229">
        <v>30</v>
      </c>
      <c r="I229" t="s">
        <v>8</v>
      </c>
    </row>
  </sheetData>
  <sortState xmlns:xlrd2="http://schemas.microsoft.com/office/spreadsheetml/2017/richdata2" ref="A3:H998">
    <sortCondition ref="A3:A998"/>
    <sortCondition ref="B3:B998"/>
    <sortCondition ref="E3:E998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25E2E-BFF7-4E32-A03E-913AB4DFDB98}">
  <dimension ref="A1:T216"/>
  <sheetViews>
    <sheetView zoomScaleNormal="100" workbookViewId="0">
      <pane ySplit="1" topLeftCell="A44" activePane="bottomLeft" state="frozen"/>
      <selection pane="bottomLeft" activeCell="A63" sqref="A63"/>
    </sheetView>
  </sheetViews>
  <sheetFormatPr defaultRowHeight="14.5" x14ac:dyDescent="0.35"/>
  <cols>
    <col min="1" max="1" width="18.6328125" customWidth="1"/>
    <col min="3" max="3" width="14.90625" customWidth="1"/>
    <col min="6" max="6" width="12.1796875" customWidth="1"/>
    <col min="7" max="7" width="13.36328125" customWidth="1"/>
    <col min="8" max="8" width="12.453125" customWidth="1"/>
    <col min="9" max="10" width="13" customWidth="1"/>
    <col min="11" max="11" width="11.36328125" customWidth="1"/>
    <col min="15" max="15" width="11.08984375" customWidth="1"/>
    <col min="16" max="16" width="12.1796875" customWidth="1"/>
    <col min="19" max="19" width="13.81640625" customWidth="1"/>
  </cols>
  <sheetData>
    <row r="1" spans="1:20" s="5" customFormat="1" x14ac:dyDescent="0.35">
      <c r="A1" s="5" t="s">
        <v>31</v>
      </c>
      <c r="B1" s="5" t="s">
        <v>16</v>
      </c>
      <c r="C1" s="1" t="s">
        <v>0</v>
      </c>
      <c r="D1" s="1" t="s">
        <v>10</v>
      </c>
      <c r="E1" s="1" t="s">
        <v>11</v>
      </c>
      <c r="F1" s="5" t="s">
        <v>32</v>
      </c>
      <c r="G1" s="5" t="s">
        <v>34</v>
      </c>
      <c r="H1" s="1" t="s">
        <v>35</v>
      </c>
      <c r="I1" s="1" t="s">
        <v>33</v>
      </c>
      <c r="J1" s="1" t="s">
        <v>50</v>
      </c>
      <c r="K1" s="5" t="s">
        <v>22</v>
      </c>
      <c r="L1" s="5" t="s">
        <v>23</v>
      </c>
      <c r="M1" s="1" t="s">
        <v>25</v>
      </c>
      <c r="N1" s="1" t="s">
        <v>26</v>
      </c>
      <c r="O1" s="1" t="s">
        <v>28</v>
      </c>
      <c r="P1" s="1" t="s">
        <v>27</v>
      </c>
      <c r="Q1" s="1" t="s">
        <v>29</v>
      </c>
      <c r="R1" s="1" t="s">
        <v>30</v>
      </c>
      <c r="S1" s="5" t="s">
        <v>24</v>
      </c>
      <c r="T1" s="5" t="s">
        <v>111</v>
      </c>
    </row>
    <row r="2" spans="1:20" x14ac:dyDescent="0.35">
      <c r="A2" t="s">
        <v>42</v>
      </c>
      <c r="B2" t="s">
        <v>7</v>
      </c>
      <c r="C2" s="2">
        <v>45997</v>
      </c>
      <c r="D2" s="3">
        <v>0.56319444444444444</v>
      </c>
      <c r="E2" s="3">
        <v>0.6069444444444444</v>
      </c>
      <c r="F2" s="6">
        <v>67.516000000000005</v>
      </c>
      <c r="G2" s="6">
        <v>15.481199999999999</v>
      </c>
      <c r="H2" s="6">
        <v>67.516000000000005</v>
      </c>
      <c r="I2" s="6">
        <v>15.481199999999999</v>
      </c>
      <c r="J2">
        <v>2</v>
      </c>
      <c r="K2">
        <v>14</v>
      </c>
      <c r="L2">
        <v>35</v>
      </c>
      <c r="O2" t="s">
        <v>55</v>
      </c>
      <c r="P2">
        <v>305</v>
      </c>
      <c r="Q2" t="s">
        <v>49</v>
      </c>
      <c r="R2" t="s">
        <v>56</v>
      </c>
    </row>
    <row r="3" spans="1:20" x14ac:dyDescent="0.35">
      <c r="A3" t="s">
        <v>42</v>
      </c>
      <c r="B3" t="s">
        <v>7</v>
      </c>
      <c r="C3" s="2">
        <v>46062</v>
      </c>
      <c r="D3" s="3">
        <v>0.5541666666666667</v>
      </c>
      <c r="E3" s="3">
        <v>0.58263888888888893</v>
      </c>
      <c r="F3" s="6">
        <v>67.516000000000005</v>
      </c>
      <c r="G3" s="6">
        <v>15.481199999999999</v>
      </c>
      <c r="H3" s="6">
        <v>67.516000000000005</v>
      </c>
      <c r="I3" s="6">
        <v>15.481199999999999</v>
      </c>
      <c r="J3">
        <v>2</v>
      </c>
      <c r="K3">
        <v>26</v>
      </c>
      <c r="L3">
        <v>50</v>
      </c>
      <c r="O3" t="s">
        <v>36</v>
      </c>
      <c r="P3">
        <v>133</v>
      </c>
      <c r="Q3" t="s">
        <v>38</v>
      </c>
      <c r="R3" t="s">
        <v>39</v>
      </c>
      <c r="S3" t="s">
        <v>45</v>
      </c>
    </row>
    <row r="4" spans="1:20" x14ac:dyDescent="0.35">
      <c r="A4" t="s">
        <v>43</v>
      </c>
      <c r="B4" t="s">
        <v>7</v>
      </c>
      <c r="C4" s="2">
        <v>46062</v>
      </c>
      <c r="D4" s="3">
        <v>0.58819444444444446</v>
      </c>
      <c r="E4" s="3">
        <v>0.61041666666666672</v>
      </c>
      <c r="F4" s="6">
        <v>67.528099999999995</v>
      </c>
      <c r="G4" s="6">
        <v>15.458</v>
      </c>
      <c r="H4" s="6">
        <v>67.528099999999995</v>
      </c>
      <c r="I4" s="6">
        <v>15.458</v>
      </c>
      <c r="J4">
        <v>2</v>
      </c>
      <c r="K4">
        <v>26</v>
      </c>
      <c r="L4">
        <v>40</v>
      </c>
      <c r="O4" t="s">
        <v>36</v>
      </c>
      <c r="P4">
        <v>164</v>
      </c>
      <c r="Q4" t="s">
        <v>38</v>
      </c>
      <c r="R4" t="s">
        <v>39</v>
      </c>
      <c r="S4" t="s">
        <v>47</v>
      </c>
    </row>
    <row r="5" spans="1:20" x14ac:dyDescent="0.35">
      <c r="A5" t="s">
        <v>44</v>
      </c>
      <c r="B5" t="s">
        <v>7</v>
      </c>
      <c r="C5" s="2">
        <v>46062</v>
      </c>
      <c r="D5" s="3">
        <v>0.625</v>
      </c>
      <c r="E5" s="3">
        <v>0.65763888888888888</v>
      </c>
      <c r="F5" s="6">
        <v>67.503900000000002</v>
      </c>
      <c r="G5" s="6">
        <v>15.3994</v>
      </c>
      <c r="H5" s="6">
        <v>67.503900000000002</v>
      </c>
      <c r="I5" s="6">
        <v>15.3994</v>
      </c>
      <c r="J5">
        <v>2</v>
      </c>
      <c r="K5">
        <v>21</v>
      </c>
      <c r="L5">
        <v>35</v>
      </c>
      <c r="O5" t="s">
        <v>36</v>
      </c>
      <c r="P5">
        <v>190</v>
      </c>
      <c r="Q5" t="s">
        <v>38</v>
      </c>
      <c r="R5" t="s">
        <v>39</v>
      </c>
      <c r="S5" t="s">
        <v>46</v>
      </c>
    </row>
    <row r="6" spans="1:20" x14ac:dyDescent="0.35">
      <c r="A6" t="s">
        <v>42</v>
      </c>
      <c r="B6" t="s">
        <v>7</v>
      </c>
      <c r="C6" s="2">
        <v>46074</v>
      </c>
      <c r="D6" s="3">
        <v>0.51388888888888884</v>
      </c>
      <c r="E6" s="3">
        <v>0.5625</v>
      </c>
      <c r="F6" s="6">
        <v>67.516000000000005</v>
      </c>
      <c r="G6" s="6">
        <v>15.481199999999999</v>
      </c>
      <c r="H6" s="6">
        <v>67.516000000000005</v>
      </c>
      <c r="I6" s="6">
        <v>15.481199999999999</v>
      </c>
      <c r="J6">
        <v>1</v>
      </c>
      <c r="K6">
        <v>23</v>
      </c>
      <c r="L6">
        <v>55</v>
      </c>
      <c r="O6" t="s">
        <v>36</v>
      </c>
      <c r="P6">
        <v>204</v>
      </c>
      <c r="Q6" t="s">
        <v>49</v>
      </c>
      <c r="R6" t="s">
        <v>48</v>
      </c>
    </row>
    <row r="7" spans="1:20" x14ac:dyDescent="0.35">
      <c r="A7" t="s">
        <v>43</v>
      </c>
      <c r="B7" t="s">
        <v>7</v>
      </c>
      <c r="C7" s="2">
        <v>46074</v>
      </c>
      <c r="D7" s="3">
        <v>0.60624999999999996</v>
      </c>
      <c r="E7" s="3">
        <v>0.63680555555555551</v>
      </c>
      <c r="F7" s="6">
        <v>67.528099999999995</v>
      </c>
      <c r="G7" s="6">
        <v>15.458</v>
      </c>
      <c r="H7" s="6">
        <v>67.528099999999995</v>
      </c>
      <c r="I7" s="6">
        <v>15.458</v>
      </c>
      <c r="J7">
        <v>1</v>
      </c>
      <c r="K7">
        <v>18</v>
      </c>
      <c r="L7">
        <v>40</v>
      </c>
      <c r="O7" t="s">
        <v>37</v>
      </c>
      <c r="P7">
        <v>300</v>
      </c>
      <c r="Q7" t="s">
        <v>38</v>
      </c>
      <c r="R7" t="s">
        <v>48</v>
      </c>
    </row>
    <row r="8" spans="1:20" x14ac:dyDescent="0.35">
      <c r="A8" t="s">
        <v>54</v>
      </c>
      <c r="B8" t="s">
        <v>53</v>
      </c>
      <c r="C8" s="2">
        <v>46082</v>
      </c>
      <c r="D8" s="3">
        <v>0.5</v>
      </c>
      <c r="E8" s="3">
        <v>0.5625</v>
      </c>
      <c r="F8" s="6">
        <v>67.5792</v>
      </c>
      <c r="G8" s="6">
        <v>15.7844</v>
      </c>
      <c r="H8" s="7">
        <v>67.5792</v>
      </c>
      <c r="I8" s="6">
        <v>15.7844</v>
      </c>
      <c r="J8">
        <v>2</v>
      </c>
      <c r="K8">
        <v>60</v>
      </c>
      <c r="L8">
        <v>20</v>
      </c>
      <c r="M8">
        <v>1.5</v>
      </c>
      <c r="O8" t="s">
        <v>55</v>
      </c>
      <c r="P8">
        <v>222</v>
      </c>
      <c r="Q8" t="s">
        <v>38</v>
      </c>
      <c r="R8" t="s">
        <v>56</v>
      </c>
      <c r="S8" t="s">
        <v>62</v>
      </c>
    </row>
    <row r="9" spans="1:20" x14ac:dyDescent="0.35">
      <c r="A9" t="s">
        <v>57</v>
      </c>
      <c r="B9" t="s">
        <v>53</v>
      </c>
      <c r="C9" s="2">
        <v>46082</v>
      </c>
      <c r="D9" s="3">
        <v>0.57638888888888884</v>
      </c>
      <c r="E9" s="3">
        <v>0.58333333333333337</v>
      </c>
      <c r="F9" s="6">
        <v>67.565600000000003</v>
      </c>
      <c r="G9" s="6">
        <v>15.738899999999999</v>
      </c>
      <c r="H9" s="6">
        <v>67.565600000000003</v>
      </c>
      <c r="I9" s="6">
        <v>15.738899999999999</v>
      </c>
      <c r="J9">
        <v>1</v>
      </c>
      <c r="K9">
        <v>141</v>
      </c>
      <c r="L9">
        <v>150</v>
      </c>
      <c r="M9">
        <v>1.5</v>
      </c>
      <c r="O9" t="s">
        <v>55</v>
      </c>
      <c r="P9">
        <v>192</v>
      </c>
      <c r="Q9" t="s">
        <v>38</v>
      </c>
      <c r="R9" t="s">
        <v>56</v>
      </c>
    </row>
    <row r="10" spans="1:20" x14ac:dyDescent="0.35">
      <c r="A10" t="s">
        <v>58</v>
      </c>
      <c r="B10" t="s">
        <v>53</v>
      </c>
      <c r="C10" s="2">
        <v>46082</v>
      </c>
      <c r="D10" s="3">
        <v>0.59375</v>
      </c>
      <c r="E10" s="3">
        <v>0.61805555555555558</v>
      </c>
      <c r="F10" s="6">
        <v>67.566599999999994</v>
      </c>
      <c r="G10" s="6">
        <v>15.6995</v>
      </c>
      <c r="H10" s="6">
        <v>67.566599999999994</v>
      </c>
      <c r="I10" s="6">
        <v>15.6995</v>
      </c>
      <c r="J10">
        <v>2</v>
      </c>
      <c r="K10">
        <v>50</v>
      </c>
      <c r="L10">
        <v>60</v>
      </c>
      <c r="M10">
        <v>1.5</v>
      </c>
      <c r="O10" t="s">
        <v>55</v>
      </c>
      <c r="P10">
        <v>148</v>
      </c>
      <c r="Q10" t="s">
        <v>38</v>
      </c>
      <c r="R10" t="s">
        <v>56</v>
      </c>
    </row>
    <row r="11" spans="1:20" x14ac:dyDescent="0.35">
      <c r="A11" t="s">
        <v>59</v>
      </c>
      <c r="B11" t="s">
        <v>53</v>
      </c>
      <c r="C11" s="2">
        <v>46082</v>
      </c>
      <c r="D11" s="3">
        <v>0.62847222222222221</v>
      </c>
      <c r="E11" s="3">
        <v>0.64930555555555558</v>
      </c>
      <c r="F11" s="6">
        <v>67.519800000000004</v>
      </c>
      <c r="G11" s="6">
        <v>15.5815</v>
      </c>
      <c r="H11" s="6">
        <v>67.519800000000004</v>
      </c>
      <c r="I11" s="6">
        <v>15.5815</v>
      </c>
      <c r="J11">
        <v>1</v>
      </c>
      <c r="K11">
        <v>20</v>
      </c>
      <c r="L11">
        <v>30</v>
      </c>
      <c r="M11">
        <v>1.5</v>
      </c>
      <c r="O11" t="s">
        <v>55</v>
      </c>
      <c r="P11">
        <v>120</v>
      </c>
      <c r="Q11" t="s">
        <v>38</v>
      </c>
      <c r="R11" t="s">
        <v>56</v>
      </c>
    </row>
    <row r="12" spans="1:20" x14ac:dyDescent="0.35">
      <c r="A12" t="s">
        <v>54</v>
      </c>
      <c r="B12" t="s">
        <v>53</v>
      </c>
      <c r="C12" s="2">
        <v>46095</v>
      </c>
      <c r="D12" s="3">
        <v>0.66666666666666663</v>
      </c>
      <c r="E12" s="3">
        <v>0.73611111111111116</v>
      </c>
      <c r="F12" s="6">
        <v>67.5792</v>
      </c>
      <c r="G12" s="6">
        <v>15.7844</v>
      </c>
      <c r="H12" s="7">
        <v>67.5792</v>
      </c>
      <c r="I12" s="6">
        <v>15.7844</v>
      </c>
      <c r="J12">
        <v>2</v>
      </c>
      <c r="K12">
        <v>15</v>
      </c>
      <c r="L12">
        <v>35</v>
      </c>
      <c r="M12">
        <v>4.0999999999999996</v>
      </c>
      <c r="O12" t="s">
        <v>36</v>
      </c>
      <c r="P12">
        <v>160</v>
      </c>
      <c r="Q12" t="s">
        <v>38</v>
      </c>
      <c r="R12" t="s">
        <v>48</v>
      </c>
    </row>
    <row r="13" spans="1:20" x14ac:dyDescent="0.35">
      <c r="A13" t="s">
        <v>73</v>
      </c>
      <c r="B13" t="s">
        <v>75</v>
      </c>
      <c r="C13" s="2">
        <v>46116</v>
      </c>
      <c r="D13" s="3">
        <v>0.5625</v>
      </c>
      <c r="E13" s="3">
        <v>0.58680555555555558</v>
      </c>
      <c r="F13" s="6">
        <v>67.511700000000005</v>
      </c>
      <c r="G13" s="6">
        <v>15.272</v>
      </c>
      <c r="H13" s="6">
        <v>67.511700000000005</v>
      </c>
      <c r="I13" s="6">
        <v>15.272</v>
      </c>
      <c r="J13">
        <v>2</v>
      </c>
      <c r="K13" s="6">
        <v>27</v>
      </c>
      <c r="L13" s="6">
        <v>40</v>
      </c>
      <c r="M13" s="6">
        <v>4.8</v>
      </c>
      <c r="Q13" t="s">
        <v>38</v>
      </c>
      <c r="R13" t="s">
        <v>48</v>
      </c>
    </row>
    <row r="14" spans="1:20" x14ac:dyDescent="0.35">
      <c r="A14" t="s">
        <v>76</v>
      </c>
      <c r="B14" t="s">
        <v>75</v>
      </c>
      <c r="C14" s="2">
        <v>46116</v>
      </c>
      <c r="D14" s="3">
        <v>0.59375</v>
      </c>
      <c r="E14" s="3">
        <v>0.61805555555555558</v>
      </c>
      <c r="F14" s="6">
        <v>67.482100000000003</v>
      </c>
      <c r="G14" s="6">
        <v>15.217700000000001</v>
      </c>
      <c r="H14" s="6">
        <v>67.482100000000003</v>
      </c>
      <c r="I14" s="6">
        <v>15.217700000000001</v>
      </c>
      <c r="J14">
        <v>3</v>
      </c>
      <c r="K14" s="6">
        <v>30</v>
      </c>
      <c r="L14" s="6">
        <v>40</v>
      </c>
      <c r="M14" s="6">
        <v>4.8</v>
      </c>
      <c r="Q14" t="s">
        <v>38</v>
      </c>
      <c r="R14" t="s">
        <v>48</v>
      </c>
    </row>
    <row r="15" spans="1:20" x14ac:dyDescent="0.35">
      <c r="A15" t="s">
        <v>77</v>
      </c>
      <c r="B15" t="s">
        <v>75</v>
      </c>
      <c r="C15" s="2">
        <v>46116</v>
      </c>
      <c r="D15" s="3">
        <v>0.62916666666666665</v>
      </c>
      <c r="E15" s="3">
        <v>0.64236111111111116</v>
      </c>
      <c r="F15" s="6">
        <v>67.459000000000003</v>
      </c>
      <c r="G15" s="6">
        <v>15.138999999999999</v>
      </c>
      <c r="H15" s="6">
        <v>67.459000000000003</v>
      </c>
      <c r="I15" s="6">
        <v>15.138999999999999</v>
      </c>
      <c r="J15">
        <v>2</v>
      </c>
      <c r="K15" s="6">
        <v>10</v>
      </c>
      <c r="L15" s="6">
        <v>25</v>
      </c>
      <c r="M15" s="6">
        <v>4.8</v>
      </c>
      <c r="Q15" t="s">
        <v>38</v>
      </c>
      <c r="R15" t="s">
        <v>48</v>
      </c>
    </row>
    <row r="16" spans="1:20" x14ac:dyDescent="0.35">
      <c r="A16" t="s">
        <v>78</v>
      </c>
      <c r="B16" t="s">
        <v>7</v>
      </c>
      <c r="C16" s="2">
        <v>46116</v>
      </c>
      <c r="D16" s="3">
        <v>0.65277777777777779</v>
      </c>
      <c r="E16" s="3">
        <v>0.66666666666666663</v>
      </c>
      <c r="F16" s="6">
        <v>67.530600000000007</v>
      </c>
      <c r="G16" s="6">
        <v>15.414999999999999</v>
      </c>
      <c r="H16" s="6">
        <v>67.530600000000007</v>
      </c>
      <c r="I16" s="6">
        <v>15.414999999999999</v>
      </c>
      <c r="J16">
        <v>3</v>
      </c>
      <c r="K16" s="6">
        <v>8</v>
      </c>
      <c r="L16" s="6">
        <v>20</v>
      </c>
      <c r="M16" s="6">
        <v>4.8</v>
      </c>
      <c r="Q16" t="s">
        <v>38</v>
      </c>
      <c r="R16" t="s">
        <v>48</v>
      </c>
    </row>
    <row r="17" spans="1:19" x14ac:dyDescent="0.35">
      <c r="A17" t="s">
        <v>42</v>
      </c>
      <c r="B17" t="s">
        <v>7</v>
      </c>
      <c r="C17" s="2">
        <v>46116</v>
      </c>
      <c r="D17" s="3">
        <v>0.67361111111111116</v>
      </c>
      <c r="E17" s="3">
        <v>0.69444444444444442</v>
      </c>
      <c r="F17" s="6">
        <v>67.516000000000005</v>
      </c>
      <c r="G17" s="6">
        <v>15.481199999999999</v>
      </c>
      <c r="H17" s="6">
        <v>67.516000000000005</v>
      </c>
      <c r="I17" s="6">
        <v>15.481199999999999</v>
      </c>
      <c r="J17">
        <v>2</v>
      </c>
      <c r="K17">
        <v>15</v>
      </c>
      <c r="L17">
        <v>50</v>
      </c>
      <c r="M17" s="6">
        <v>4.8</v>
      </c>
      <c r="Q17" t="s">
        <v>38</v>
      </c>
      <c r="R17" t="s">
        <v>48</v>
      </c>
    </row>
    <row r="18" spans="1:19" x14ac:dyDescent="0.35">
      <c r="A18" t="s">
        <v>42</v>
      </c>
      <c r="B18" t="s">
        <v>7</v>
      </c>
      <c r="C18" s="2">
        <v>46142</v>
      </c>
      <c r="D18" s="3">
        <v>0.70833333333333337</v>
      </c>
      <c r="E18" s="3">
        <v>0.75</v>
      </c>
      <c r="F18" s="6">
        <v>67.516000000000005</v>
      </c>
      <c r="G18" s="6">
        <v>15.481199999999999</v>
      </c>
      <c r="H18" s="6">
        <v>67.516000000000005</v>
      </c>
      <c r="I18" s="6">
        <v>15.481199999999999</v>
      </c>
      <c r="J18">
        <v>1</v>
      </c>
      <c r="K18">
        <v>15</v>
      </c>
      <c r="L18">
        <v>50</v>
      </c>
      <c r="O18" t="s">
        <v>55</v>
      </c>
      <c r="P18">
        <v>97</v>
      </c>
      <c r="Q18" t="s">
        <v>38</v>
      </c>
      <c r="R18" t="s">
        <v>48</v>
      </c>
    </row>
    <row r="19" spans="1:19" x14ac:dyDescent="0.35">
      <c r="A19" t="s">
        <v>44</v>
      </c>
      <c r="B19" t="s">
        <v>7</v>
      </c>
      <c r="C19" s="2">
        <v>46150</v>
      </c>
      <c r="D19" s="3">
        <v>0.90972222222222221</v>
      </c>
      <c r="E19" s="3">
        <v>0.9375</v>
      </c>
      <c r="F19" s="6">
        <v>67.503900000000002</v>
      </c>
      <c r="G19" s="6">
        <v>15.3994</v>
      </c>
      <c r="H19" s="6">
        <v>67.503900000000002</v>
      </c>
      <c r="I19" s="6">
        <v>15.3994</v>
      </c>
      <c r="J19">
        <v>2</v>
      </c>
      <c r="K19">
        <v>21</v>
      </c>
      <c r="L19">
        <v>35</v>
      </c>
      <c r="O19" t="s">
        <v>55</v>
      </c>
      <c r="P19">
        <v>128</v>
      </c>
      <c r="Q19" t="s">
        <v>38</v>
      </c>
      <c r="R19" t="s">
        <v>56</v>
      </c>
    </row>
    <row r="20" spans="1:19" x14ac:dyDescent="0.35">
      <c r="A20" t="s">
        <v>42</v>
      </c>
      <c r="B20" t="s">
        <v>7</v>
      </c>
      <c r="C20" s="2">
        <v>46158</v>
      </c>
      <c r="D20" s="3">
        <v>0.41736111111111113</v>
      </c>
      <c r="E20" s="3">
        <v>0.50069444444444444</v>
      </c>
      <c r="F20" s="6">
        <v>67.516000000000005</v>
      </c>
      <c r="G20" s="6">
        <v>15.481199999999999</v>
      </c>
      <c r="H20" s="6">
        <v>67.516000000000005</v>
      </c>
      <c r="I20" s="6">
        <v>15.481199999999999</v>
      </c>
      <c r="J20">
        <v>2</v>
      </c>
      <c r="K20">
        <v>15</v>
      </c>
      <c r="L20">
        <v>50</v>
      </c>
      <c r="O20" t="s">
        <v>36</v>
      </c>
      <c r="P20">
        <v>200</v>
      </c>
      <c r="Q20" t="s">
        <v>38</v>
      </c>
      <c r="R20" t="s">
        <v>48</v>
      </c>
    </row>
    <row r="21" spans="1:19" x14ac:dyDescent="0.35">
      <c r="A21" t="s">
        <v>42</v>
      </c>
      <c r="B21" t="s">
        <v>7</v>
      </c>
      <c r="C21" s="2">
        <v>46159</v>
      </c>
      <c r="D21" s="3">
        <v>0.79166666666666663</v>
      </c>
      <c r="E21" s="3">
        <v>0.8125</v>
      </c>
      <c r="F21" s="6">
        <v>67.516000000000005</v>
      </c>
      <c r="G21" s="6">
        <v>15.481199999999999</v>
      </c>
      <c r="H21" s="6">
        <v>67.516000000000005</v>
      </c>
      <c r="I21" s="6">
        <v>15.481199999999999</v>
      </c>
      <c r="J21">
        <v>2</v>
      </c>
      <c r="K21">
        <v>15</v>
      </c>
      <c r="L21">
        <v>50</v>
      </c>
      <c r="O21" t="s">
        <v>82</v>
      </c>
      <c r="P21">
        <v>24</v>
      </c>
      <c r="Q21" t="s">
        <v>38</v>
      </c>
      <c r="R21" t="s">
        <v>56</v>
      </c>
    </row>
    <row r="22" spans="1:19" x14ac:dyDescent="0.35">
      <c r="A22" t="s">
        <v>42</v>
      </c>
      <c r="B22" t="s">
        <v>7</v>
      </c>
      <c r="C22" s="2">
        <v>46162</v>
      </c>
      <c r="D22" s="3">
        <v>0.63888888888888884</v>
      </c>
      <c r="E22" s="3">
        <v>0.66666666666666663</v>
      </c>
      <c r="F22" s="6">
        <v>67.516000000000005</v>
      </c>
      <c r="G22" s="6">
        <v>15.481199999999999</v>
      </c>
      <c r="H22" s="6">
        <v>67.516000000000005</v>
      </c>
      <c r="I22" s="6">
        <v>15.481199999999999</v>
      </c>
      <c r="J22">
        <v>2</v>
      </c>
      <c r="K22">
        <v>15</v>
      </c>
      <c r="L22">
        <v>50</v>
      </c>
      <c r="O22" t="s">
        <v>36</v>
      </c>
      <c r="P22">
        <v>250</v>
      </c>
      <c r="Q22" t="s">
        <v>38</v>
      </c>
      <c r="R22" t="s">
        <v>56</v>
      </c>
    </row>
    <row r="23" spans="1:19" x14ac:dyDescent="0.35">
      <c r="A23" t="s">
        <v>89</v>
      </c>
      <c r="B23" t="s">
        <v>7</v>
      </c>
      <c r="C23" s="2">
        <v>46172</v>
      </c>
      <c r="D23" s="3">
        <v>0.45833333333333331</v>
      </c>
      <c r="E23" s="3">
        <v>0.52083333333333337</v>
      </c>
      <c r="F23" s="6">
        <v>67.368099999999998</v>
      </c>
      <c r="G23" s="6">
        <v>15.1264</v>
      </c>
      <c r="H23" s="6">
        <v>67.368099999999998</v>
      </c>
      <c r="I23" s="6">
        <v>15.1264</v>
      </c>
      <c r="J23">
        <v>4</v>
      </c>
      <c r="K23" s="6">
        <v>13</v>
      </c>
      <c r="L23" s="6">
        <v>30</v>
      </c>
      <c r="O23" t="s">
        <v>36</v>
      </c>
      <c r="P23">
        <v>240</v>
      </c>
      <c r="Q23" t="s">
        <v>38</v>
      </c>
      <c r="R23" t="s">
        <v>56</v>
      </c>
    </row>
    <row r="24" spans="1:19" x14ac:dyDescent="0.35">
      <c r="A24" t="s">
        <v>115</v>
      </c>
      <c r="B24" t="s">
        <v>7</v>
      </c>
      <c r="C24" s="2">
        <v>46172</v>
      </c>
      <c r="D24" s="3">
        <v>0.60416666666666663</v>
      </c>
      <c r="E24" s="3">
        <v>0.625</v>
      </c>
      <c r="F24" s="6">
        <v>67.349299999999999</v>
      </c>
      <c r="G24" s="6">
        <v>15.1318</v>
      </c>
      <c r="H24" s="6">
        <v>67.349299999999999</v>
      </c>
      <c r="I24" s="6">
        <v>15.1318</v>
      </c>
      <c r="J24">
        <v>4</v>
      </c>
      <c r="K24" s="6">
        <v>15</v>
      </c>
      <c r="L24" s="6">
        <v>40</v>
      </c>
      <c r="M24" s="6">
        <v>9.6999999999999993</v>
      </c>
      <c r="N24" s="6">
        <v>22.9</v>
      </c>
      <c r="O24" t="s">
        <v>55</v>
      </c>
      <c r="P24" s="6">
        <v>210</v>
      </c>
      <c r="Q24" t="s">
        <v>38</v>
      </c>
      <c r="R24" t="s">
        <v>56</v>
      </c>
    </row>
    <row r="25" spans="1:19" x14ac:dyDescent="0.35">
      <c r="A25" t="s">
        <v>44</v>
      </c>
      <c r="B25" t="s">
        <v>7</v>
      </c>
      <c r="C25" s="2">
        <v>46172</v>
      </c>
      <c r="D25" s="3">
        <v>0.63888888888888884</v>
      </c>
      <c r="E25" s="3">
        <v>0.67708333333333337</v>
      </c>
      <c r="F25" s="6">
        <v>67.503900000000002</v>
      </c>
      <c r="G25" s="6">
        <v>15.3994</v>
      </c>
      <c r="H25" s="6">
        <v>67.503900000000002</v>
      </c>
      <c r="I25" s="6">
        <v>15.3994</v>
      </c>
      <c r="J25">
        <v>4</v>
      </c>
      <c r="K25" s="6">
        <v>10</v>
      </c>
      <c r="L25" s="6">
        <v>50</v>
      </c>
      <c r="O25" t="s">
        <v>55</v>
      </c>
      <c r="P25" s="6">
        <v>160</v>
      </c>
      <c r="Q25" t="s">
        <v>38</v>
      </c>
      <c r="R25" t="s">
        <v>56</v>
      </c>
      <c r="S25" t="s">
        <v>92</v>
      </c>
    </row>
    <row r="26" spans="1:19" x14ac:dyDescent="0.35">
      <c r="A26" t="s">
        <v>44</v>
      </c>
      <c r="B26" t="s">
        <v>7</v>
      </c>
      <c r="C26" s="2">
        <v>46173</v>
      </c>
      <c r="D26" s="3">
        <v>0.52083333333333337</v>
      </c>
      <c r="E26" s="3">
        <v>0.56944444444444442</v>
      </c>
      <c r="F26" s="6">
        <v>67.503900000000002</v>
      </c>
      <c r="G26" s="6">
        <v>15.3994</v>
      </c>
      <c r="H26" s="6">
        <v>67.503900000000002</v>
      </c>
      <c r="I26" s="6">
        <v>15.3994</v>
      </c>
      <c r="J26">
        <v>4</v>
      </c>
      <c r="K26" s="6">
        <v>10</v>
      </c>
      <c r="L26" s="6">
        <v>50</v>
      </c>
      <c r="M26" s="6">
        <v>10</v>
      </c>
      <c r="N26" s="6">
        <v>28</v>
      </c>
      <c r="O26" t="s">
        <v>37</v>
      </c>
      <c r="P26" s="6">
        <v>250</v>
      </c>
      <c r="Q26" t="s">
        <v>38</v>
      </c>
      <c r="R26" t="s">
        <v>48</v>
      </c>
    </row>
    <row r="27" spans="1:19" x14ac:dyDescent="0.35">
      <c r="A27" t="s">
        <v>54</v>
      </c>
      <c r="B27" t="s">
        <v>53</v>
      </c>
      <c r="C27" s="2">
        <v>46173</v>
      </c>
      <c r="D27" s="3">
        <v>0.66666666666666663</v>
      </c>
      <c r="E27" s="3">
        <v>0.69791666666666663</v>
      </c>
      <c r="F27" s="6">
        <v>67.5792</v>
      </c>
      <c r="G27" s="6">
        <v>15.7844</v>
      </c>
      <c r="H27" s="7">
        <v>67.5792</v>
      </c>
      <c r="I27" s="6">
        <v>15.7844</v>
      </c>
      <c r="J27">
        <v>3</v>
      </c>
      <c r="K27">
        <v>20</v>
      </c>
      <c r="L27">
        <v>40</v>
      </c>
      <c r="O27" t="s">
        <v>55</v>
      </c>
      <c r="P27" s="6">
        <v>170</v>
      </c>
      <c r="Q27" t="s">
        <v>38</v>
      </c>
      <c r="R27" t="s">
        <v>48</v>
      </c>
    </row>
    <row r="28" spans="1:19" x14ac:dyDescent="0.35">
      <c r="A28" t="s">
        <v>91</v>
      </c>
      <c r="B28" t="s">
        <v>53</v>
      </c>
      <c r="C28" s="2">
        <v>46173</v>
      </c>
      <c r="D28" s="3">
        <v>0.79166666666666663</v>
      </c>
      <c r="E28" s="3">
        <v>0.8125</v>
      </c>
      <c r="F28" s="6">
        <v>67.353300000000004</v>
      </c>
      <c r="G28" s="6">
        <v>15.5144</v>
      </c>
      <c r="H28" s="6">
        <v>67.353300000000004</v>
      </c>
      <c r="I28" s="6">
        <v>15.5144</v>
      </c>
      <c r="J28">
        <v>4</v>
      </c>
      <c r="K28" s="6">
        <v>10</v>
      </c>
      <c r="L28" s="6">
        <v>30</v>
      </c>
      <c r="O28" t="s">
        <v>55</v>
      </c>
      <c r="P28" s="6">
        <v>60</v>
      </c>
      <c r="Q28" t="s">
        <v>38</v>
      </c>
      <c r="R28" t="s">
        <v>48</v>
      </c>
    </row>
    <row r="29" spans="1:19" x14ac:dyDescent="0.35">
      <c r="A29" t="s">
        <v>42</v>
      </c>
      <c r="B29" t="s">
        <v>7</v>
      </c>
      <c r="C29" s="2">
        <v>46175</v>
      </c>
      <c r="D29" s="3">
        <v>0.47916666666666669</v>
      </c>
      <c r="E29" s="3">
        <v>0.54166666666666663</v>
      </c>
      <c r="F29" s="6">
        <v>67.516000000000005</v>
      </c>
      <c r="G29" s="6">
        <v>15.481199999999999</v>
      </c>
      <c r="H29" s="6">
        <v>67.516000000000005</v>
      </c>
      <c r="I29" s="6">
        <v>15.481199999999999</v>
      </c>
      <c r="J29">
        <v>3</v>
      </c>
      <c r="K29" s="6">
        <v>50</v>
      </c>
      <c r="L29" s="6">
        <v>70</v>
      </c>
      <c r="M29" s="6">
        <v>10</v>
      </c>
      <c r="N29" s="6">
        <v>28</v>
      </c>
      <c r="O29" t="s">
        <v>36</v>
      </c>
      <c r="P29" s="6">
        <v>157</v>
      </c>
      <c r="Q29" t="s">
        <v>38</v>
      </c>
      <c r="R29" t="s">
        <v>48</v>
      </c>
    </row>
    <row r="30" spans="1:19" x14ac:dyDescent="0.35">
      <c r="A30" s="9" t="s">
        <v>97</v>
      </c>
      <c r="B30" t="s">
        <v>53</v>
      </c>
      <c r="C30" s="2">
        <v>46187</v>
      </c>
      <c r="D30" s="3">
        <v>0.46041666666666664</v>
      </c>
      <c r="E30" s="3">
        <v>0.5444444444444444</v>
      </c>
      <c r="F30" s="6">
        <v>67.531400000000005</v>
      </c>
      <c r="G30" s="6">
        <v>15.6182</v>
      </c>
      <c r="H30" s="6">
        <v>67.531400000000005</v>
      </c>
      <c r="I30" s="6">
        <v>15.6182</v>
      </c>
      <c r="J30">
        <v>1</v>
      </c>
      <c r="K30" s="6">
        <v>55</v>
      </c>
      <c r="L30" s="6">
        <v>75</v>
      </c>
      <c r="O30" t="s">
        <v>37</v>
      </c>
      <c r="P30" s="6">
        <v>300</v>
      </c>
      <c r="Q30" t="s">
        <v>38</v>
      </c>
      <c r="R30" t="s">
        <v>48</v>
      </c>
    </row>
    <row r="31" spans="1:19" x14ac:dyDescent="0.35">
      <c r="A31" t="s">
        <v>97</v>
      </c>
      <c r="B31" t="s">
        <v>53</v>
      </c>
      <c r="C31" s="2">
        <v>46200</v>
      </c>
      <c r="D31" s="3">
        <v>0.60347222222222219</v>
      </c>
      <c r="E31" s="3">
        <v>0.65555555555555556</v>
      </c>
      <c r="F31" s="6">
        <v>67.531400000000005</v>
      </c>
      <c r="G31" s="6">
        <v>15.6182</v>
      </c>
      <c r="H31" s="6">
        <v>67.531400000000005</v>
      </c>
      <c r="I31" s="6">
        <v>15.6182</v>
      </c>
      <c r="J31">
        <v>1</v>
      </c>
      <c r="K31" s="6">
        <v>30</v>
      </c>
      <c r="L31" s="6">
        <v>60</v>
      </c>
      <c r="M31" s="6">
        <v>13</v>
      </c>
      <c r="N31" s="6">
        <v>26.7</v>
      </c>
      <c r="O31" t="s">
        <v>55</v>
      </c>
      <c r="P31" s="6">
        <v>140</v>
      </c>
      <c r="Q31" t="s">
        <v>38</v>
      </c>
      <c r="R31" t="s">
        <v>56</v>
      </c>
    </row>
    <row r="32" spans="1:19" x14ac:dyDescent="0.35">
      <c r="A32" t="s">
        <v>44</v>
      </c>
      <c r="B32" t="s">
        <v>7</v>
      </c>
      <c r="C32" s="2">
        <v>46210</v>
      </c>
      <c r="D32" s="3">
        <v>0.66666666666666663</v>
      </c>
      <c r="E32" s="3">
        <v>0.72569444444444442</v>
      </c>
      <c r="F32" s="6">
        <v>67.503900000000002</v>
      </c>
      <c r="G32" s="6">
        <v>15.3994</v>
      </c>
      <c r="H32" s="6">
        <v>67.503900000000002</v>
      </c>
      <c r="I32" s="6">
        <v>15.3994</v>
      </c>
      <c r="J32">
        <v>1</v>
      </c>
      <c r="K32">
        <v>21</v>
      </c>
      <c r="L32">
        <v>35</v>
      </c>
      <c r="O32" t="s">
        <v>36</v>
      </c>
      <c r="P32" s="6">
        <v>233</v>
      </c>
      <c r="Q32" t="s">
        <v>38</v>
      </c>
      <c r="R32" t="s">
        <v>56</v>
      </c>
    </row>
    <row r="33" spans="1:20" x14ac:dyDescent="0.35">
      <c r="A33" t="s">
        <v>42</v>
      </c>
      <c r="B33" t="s">
        <v>7</v>
      </c>
      <c r="C33" s="2">
        <v>46223</v>
      </c>
      <c r="D33" s="3">
        <v>0.60763888888888884</v>
      </c>
      <c r="E33" s="3">
        <v>0.64583333333333337</v>
      </c>
      <c r="F33" s="6">
        <v>67.516000000000005</v>
      </c>
      <c r="G33" s="6">
        <v>15.481199999999999</v>
      </c>
      <c r="H33" s="6">
        <v>67.516000000000005</v>
      </c>
      <c r="I33" s="6">
        <v>15.481199999999999</v>
      </c>
      <c r="J33">
        <v>3</v>
      </c>
      <c r="K33" s="6">
        <v>15</v>
      </c>
      <c r="L33" s="6">
        <v>55</v>
      </c>
      <c r="M33" s="6">
        <v>13.2</v>
      </c>
      <c r="N33" s="6">
        <v>26</v>
      </c>
      <c r="O33" t="s">
        <v>36</v>
      </c>
      <c r="P33" s="6">
        <v>145</v>
      </c>
      <c r="Q33" t="s">
        <v>38</v>
      </c>
      <c r="R33" t="s">
        <v>56</v>
      </c>
    </row>
    <row r="34" spans="1:20" x14ac:dyDescent="0.35">
      <c r="A34" t="s">
        <v>44</v>
      </c>
      <c r="B34" t="s">
        <v>7</v>
      </c>
      <c r="C34" s="2">
        <v>46223</v>
      </c>
      <c r="D34" s="3">
        <v>0.64930555555555558</v>
      </c>
      <c r="E34" s="3">
        <v>0.67013888888888884</v>
      </c>
      <c r="F34" s="6">
        <v>67.503900000000002</v>
      </c>
      <c r="G34" s="6">
        <v>15.3994</v>
      </c>
      <c r="H34" s="6">
        <v>67.503900000000002</v>
      </c>
      <c r="I34" s="6">
        <v>15.3994</v>
      </c>
      <c r="J34">
        <v>2</v>
      </c>
      <c r="K34" s="6">
        <v>10</v>
      </c>
      <c r="L34" s="6">
        <v>30</v>
      </c>
      <c r="M34" s="6">
        <v>13.2</v>
      </c>
      <c r="N34" s="6">
        <v>26</v>
      </c>
      <c r="O34" t="s">
        <v>36</v>
      </c>
      <c r="P34" s="6">
        <v>205</v>
      </c>
      <c r="Q34" t="s">
        <v>38</v>
      </c>
      <c r="R34" t="s">
        <v>99</v>
      </c>
    </row>
    <row r="35" spans="1:20" x14ac:dyDescent="0.35">
      <c r="A35" t="s">
        <v>98</v>
      </c>
      <c r="B35" t="s">
        <v>75</v>
      </c>
      <c r="C35" s="2">
        <v>46223</v>
      </c>
      <c r="D35" s="3">
        <v>0.68472222222222223</v>
      </c>
      <c r="E35" s="3">
        <v>0.70486111111111116</v>
      </c>
      <c r="F35" s="6">
        <v>67.299700000000001</v>
      </c>
      <c r="G35" s="6">
        <v>15.166399999999999</v>
      </c>
      <c r="H35" s="6">
        <v>67.299700000000001</v>
      </c>
      <c r="I35" s="6">
        <v>15.166399999999999</v>
      </c>
      <c r="J35">
        <v>3</v>
      </c>
      <c r="K35" s="6">
        <v>10</v>
      </c>
      <c r="L35" s="6">
        <v>20</v>
      </c>
      <c r="M35" s="6">
        <v>13.3</v>
      </c>
      <c r="N35" s="6">
        <v>27</v>
      </c>
      <c r="O35" t="s">
        <v>36</v>
      </c>
      <c r="P35" s="6">
        <v>225</v>
      </c>
      <c r="Q35" t="s">
        <v>38</v>
      </c>
      <c r="R35" t="s">
        <v>99</v>
      </c>
    </row>
    <row r="36" spans="1:20" x14ac:dyDescent="0.35">
      <c r="A36" t="s">
        <v>44</v>
      </c>
      <c r="B36" t="s">
        <v>7</v>
      </c>
      <c r="C36" s="2">
        <v>46227</v>
      </c>
      <c r="D36" s="3">
        <v>0.62708333333333333</v>
      </c>
      <c r="E36" s="3">
        <v>0.75069444444444444</v>
      </c>
      <c r="F36" s="6">
        <v>67.503900000000002</v>
      </c>
      <c r="G36" s="6">
        <v>15.3994</v>
      </c>
      <c r="H36" s="6">
        <v>67.503900000000002</v>
      </c>
      <c r="I36" s="6">
        <v>15.3994</v>
      </c>
      <c r="J36">
        <v>2</v>
      </c>
      <c r="K36">
        <v>30</v>
      </c>
      <c r="L36">
        <v>45</v>
      </c>
      <c r="O36" t="s">
        <v>36</v>
      </c>
      <c r="P36" s="6">
        <v>150</v>
      </c>
      <c r="Q36" t="s">
        <v>38</v>
      </c>
      <c r="R36" t="s">
        <v>56</v>
      </c>
      <c r="S36" t="s">
        <v>120</v>
      </c>
      <c r="T36" t="s">
        <v>68</v>
      </c>
    </row>
    <row r="37" spans="1:20" x14ac:dyDescent="0.35">
      <c r="A37" t="s">
        <v>110</v>
      </c>
      <c r="B37" t="s">
        <v>53</v>
      </c>
      <c r="C37" s="2">
        <v>46243</v>
      </c>
      <c r="D37" s="3">
        <v>0.72222222222222221</v>
      </c>
      <c r="E37" s="3">
        <v>0.75</v>
      </c>
      <c r="F37" s="6">
        <v>67.516900000000007</v>
      </c>
      <c r="G37" s="6">
        <v>15.5364</v>
      </c>
      <c r="H37" s="6">
        <v>67.516900000000007</v>
      </c>
      <c r="I37" s="6">
        <v>15.5364</v>
      </c>
      <c r="J37" s="6">
        <v>3</v>
      </c>
      <c r="K37" s="6">
        <v>10</v>
      </c>
      <c r="L37" s="6">
        <v>50</v>
      </c>
      <c r="M37" s="6">
        <v>13.5</v>
      </c>
      <c r="N37" s="6">
        <v>28</v>
      </c>
      <c r="O37" t="s">
        <v>36</v>
      </c>
      <c r="P37" s="6">
        <v>130</v>
      </c>
      <c r="Q37" t="s">
        <v>38</v>
      </c>
      <c r="R37" t="s">
        <v>56</v>
      </c>
      <c r="T37" t="s">
        <v>68</v>
      </c>
    </row>
    <row r="38" spans="1:20" x14ac:dyDescent="0.35">
      <c r="A38" t="s">
        <v>54</v>
      </c>
      <c r="B38" t="s">
        <v>53</v>
      </c>
      <c r="C38" s="2">
        <v>46243</v>
      </c>
      <c r="D38" s="3">
        <v>0.76388888888888884</v>
      </c>
      <c r="E38" s="3">
        <v>0.83680555555555558</v>
      </c>
      <c r="F38" s="6">
        <v>67.5792</v>
      </c>
      <c r="G38" s="6">
        <v>15.7844</v>
      </c>
      <c r="H38" s="7">
        <v>67.5792</v>
      </c>
      <c r="I38" s="6">
        <v>15.7844</v>
      </c>
      <c r="J38" s="6">
        <v>3</v>
      </c>
      <c r="K38">
        <v>20</v>
      </c>
      <c r="L38">
        <v>40</v>
      </c>
      <c r="O38" t="s">
        <v>36</v>
      </c>
      <c r="P38" s="6">
        <v>161</v>
      </c>
      <c r="Q38" t="s">
        <v>38</v>
      </c>
      <c r="R38" t="s">
        <v>56</v>
      </c>
    </row>
    <row r="39" spans="1:20" x14ac:dyDescent="0.35">
      <c r="A39" t="s">
        <v>112</v>
      </c>
      <c r="B39" t="s">
        <v>75</v>
      </c>
      <c r="C39" s="2">
        <v>46246</v>
      </c>
      <c r="D39" s="3">
        <v>0.41666666666666669</v>
      </c>
      <c r="E39" s="3">
        <v>0.43402777777777779</v>
      </c>
      <c r="F39" s="6">
        <v>67.504000000000005</v>
      </c>
      <c r="G39" s="6">
        <v>15.321400000000001</v>
      </c>
      <c r="H39" s="6">
        <v>67.504000000000005</v>
      </c>
      <c r="I39" s="6">
        <v>15.321400000000001</v>
      </c>
      <c r="J39" s="6">
        <v>2</v>
      </c>
      <c r="K39" s="6">
        <v>40</v>
      </c>
      <c r="L39" s="6">
        <v>55</v>
      </c>
      <c r="M39" s="6">
        <v>12.8</v>
      </c>
      <c r="N39" s="6">
        <v>27.5</v>
      </c>
      <c r="O39" t="s">
        <v>36</v>
      </c>
      <c r="P39" s="6">
        <v>147</v>
      </c>
      <c r="Q39" t="s">
        <v>38</v>
      </c>
      <c r="R39" t="s">
        <v>56</v>
      </c>
    </row>
    <row r="40" spans="1:20" x14ac:dyDescent="0.35">
      <c r="A40" t="s">
        <v>113</v>
      </c>
      <c r="B40" t="s">
        <v>75</v>
      </c>
      <c r="C40" s="2">
        <v>46246</v>
      </c>
      <c r="D40" s="3">
        <v>0.46527777777777779</v>
      </c>
      <c r="E40" s="3">
        <v>0.4861111111111111</v>
      </c>
      <c r="F40" s="6">
        <v>67.493099999999998</v>
      </c>
      <c r="G40" s="6">
        <v>15.1549</v>
      </c>
      <c r="H40" s="6">
        <v>67.493099999999998</v>
      </c>
      <c r="I40" s="6">
        <v>15.1549</v>
      </c>
      <c r="J40" s="6">
        <v>1</v>
      </c>
      <c r="K40" s="6">
        <v>20</v>
      </c>
      <c r="L40" s="6">
        <v>30</v>
      </c>
      <c r="O40" t="s">
        <v>36</v>
      </c>
      <c r="P40" s="6">
        <v>244</v>
      </c>
      <c r="Q40" t="s">
        <v>38</v>
      </c>
      <c r="R40" t="s">
        <v>56</v>
      </c>
      <c r="T40" t="s">
        <v>114</v>
      </c>
    </row>
    <row r="41" spans="1:20" x14ac:dyDescent="0.35">
      <c r="A41" t="s">
        <v>115</v>
      </c>
      <c r="B41" t="s">
        <v>7</v>
      </c>
      <c r="C41" s="2">
        <v>46246</v>
      </c>
      <c r="D41" s="3">
        <v>0.61111111111111116</v>
      </c>
      <c r="E41" s="3">
        <v>0.61805555555555558</v>
      </c>
      <c r="F41" s="6">
        <v>67.349299999999999</v>
      </c>
      <c r="G41" s="6">
        <v>15.1318</v>
      </c>
      <c r="H41" s="6">
        <v>67.349299999999999</v>
      </c>
      <c r="I41" s="6">
        <v>15.1318</v>
      </c>
      <c r="J41" s="6">
        <v>1</v>
      </c>
      <c r="K41" s="6">
        <v>15</v>
      </c>
      <c r="L41" s="6">
        <v>35</v>
      </c>
      <c r="O41" t="s">
        <v>55</v>
      </c>
      <c r="P41" s="6">
        <v>246</v>
      </c>
      <c r="Q41" t="s">
        <v>38</v>
      </c>
      <c r="R41" t="s">
        <v>56</v>
      </c>
    </row>
    <row r="42" spans="1:20" x14ac:dyDescent="0.35">
      <c r="A42" t="s">
        <v>44</v>
      </c>
      <c r="B42" t="s">
        <v>7</v>
      </c>
      <c r="C42" s="2">
        <v>46247</v>
      </c>
      <c r="D42" s="3">
        <v>0.35416666666666669</v>
      </c>
      <c r="E42" s="3">
        <v>0.4861111111111111</v>
      </c>
      <c r="F42" s="6">
        <v>67.503900000000002</v>
      </c>
      <c r="G42" s="6">
        <v>15.3994</v>
      </c>
      <c r="H42" s="6">
        <v>67.503900000000002</v>
      </c>
      <c r="I42" s="6">
        <v>15.3994</v>
      </c>
      <c r="J42" s="6">
        <v>2</v>
      </c>
      <c r="K42" s="6">
        <v>25</v>
      </c>
      <c r="L42" s="6">
        <v>50</v>
      </c>
      <c r="O42" t="s">
        <v>36</v>
      </c>
      <c r="P42" s="6">
        <v>130</v>
      </c>
      <c r="Q42" t="s">
        <v>38</v>
      </c>
      <c r="R42" t="s">
        <v>56</v>
      </c>
      <c r="S42" t="s">
        <v>121</v>
      </c>
      <c r="T42" t="s">
        <v>68</v>
      </c>
    </row>
    <row r="43" spans="1:20" x14ac:dyDescent="0.35">
      <c r="A43" t="s">
        <v>42</v>
      </c>
      <c r="B43" t="s">
        <v>7</v>
      </c>
      <c r="C43" s="2">
        <v>46247</v>
      </c>
      <c r="D43" s="3">
        <v>0.5</v>
      </c>
      <c r="E43" s="3">
        <v>0.52777777777777779</v>
      </c>
      <c r="F43" s="6">
        <v>67.516000000000005</v>
      </c>
      <c r="G43" s="6">
        <v>15.481199999999999</v>
      </c>
      <c r="H43" s="6">
        <v>67.516000000000005</v>
      </c>
      <c r="I43" s="6">
        <v>15.481199999999999</v>
      </c>
      <c r="J43" s="6">
        <v>2</v>
      </c>
      <c r="K43">
        <v>15</v>
      </c>
      <c r="L43">
        <v>25</v>
      </c>
      <c r="O43" t="s">
        <v>36</v>
      </c>
      <c r="P43" s="6">
        <v>250</v>
      </c>
      <c r="Q43" t="s">
        <v>38</v>
      </c>
      <c r="R43" t="s">
        <v>56</v>
      </c>
      <c r="T43" t="s">
        <v>68</v>
      </c>
    </row>
    <row r="44" spans="1:20" x14ac:dyDescent="0.35">
      <c r="A44" t="s">
        <v>44</v>
      </c>
      <c r="B44" t="s">
        <v>7</v>
      </c>
      <c r="C44" s="2">
        <v>46248</v>
      </c>
      <c r="D44" s="3">
        <v>0.3125</v>
      </c>
      <c r="E44" s="3">
        <v>0.47916666666666669</v>
      </c>
      <c r="F44" s="6">
        <v>67.503900000000002</v>
      </c>
      <c r="G44" s="6">
        <v>15.3994</v>
      </c>
      <c r="H44" s="6">
        <v>67.503900000000002</v>
      </c>
      <c r="I44" s="6">
        <v>15.3994</v>
      </c>
      <c r="J44" s="6">
        <v>2</v>
      </c>
      <c r="K44" s="6">
        <v>25</v>
      </c>
      <c r="L44" s="6">
        <v>50</v>
      </c>
      <c r="O44" t="s">
        <v>36</v>
      </c>
      <c r="P44" s="6">
        <v>100</v>
      </c>
      <c r="Q44" t="s">
        <v>38</v>
      </c>
      <c r="R44" t="s">
        <v>56</v>
      </c>
      <c r="S44" t="s">
        <v>122</v>
      </c>
      <c r="T44" t="s">
        <v>68</v>
      </c>
    </row>
    <row r="45" spans="1:20" x14ac:dyDescent="0.35">
      <c r="A45" t="s">
        <v>42</v>
      </c>
      <c r="B45" t="s">
        <v>7</v>
      </c>
      <c r="C45" s="2">
        <v>46251</v>
      </c>
      <c r="D45" s="3">
        <v>0.39166666666666666</v>
      </c>
      <c r="E45" s="3">
        <v>0.45833333333333331</v>
      </c>
      <c r="F45" s="6">
        <v>67.516000000000005</v>
      </c>
      <c r="G45" s="6">
        <v>15.481199999999999</v>
      </c>
      <c r="H45" s="6">
        <v>67.516000000000005</v>
      </c>
      <c r="I45" s="6">
        <v>15.481199999999999</v>
      </c>
      <c r="J45" s="6">
        <v>4</v>
      </c>
      <c r="K45">
        <v>20</v>
      </c>
      <c r="L45">
        <v>40</v>
      </c>
      <c r="M45" s="6">
        <v>13.8</v>
      </c>
      <c r="N45" s="6">
        <v>27.5</v>
      </c>
      <c r="O45" t="s">
        <v>55</v>
      </c>
      <c r="P45" s="6">
        <v>67</v>
      </c>
      <c r="Q45" t="s">
        <v>38</v>
      </c>
      <c r="R45" t="s">
        <v>56</v>
      </c>
    </row>
    <row r="46" spans="1:20" x14ac:dyDescent="0.35">
      <c r="A46" t="s">
        <v>44</v>
      </c>
      <c r="B46" t="s">
        <v>7</v>
      </c>
      <c r="C46" s="2">
        <v>46251</v>
      </c>
      <c r="D46" s="3">
        <v>0.46875</v>
      </c>
      <c r="E46" s="3">
        <v>0.54861111111111116</v>
      </c>
      <c r="F46" s="6">
        <v>67.503900000000002</v>
      </c>
      <c r="G46" s="6">
        <v>15.3994</v>
      </c>
      <c r="H46" s="6">
        <v>67.503900000000002</v>
      </c>
      <c r="I46" s="6">
        <v>15.3994</v>
      </c>
      <c r="J46" s="6">
        <v>4</v>
      </c>
      <c r="K46" s="6">
        <v>20</v>
      </c>
      <c r="L46" s="6">
        <v>45</v>
      </c>
      <c r="M46" s="6">
        <v>13.8</v>
      </c>
      <c r="N46" s="6">
        <v>27.5</v>
      </c>
      <c r="O46" t="s">
        <v>36</v>
      </c>
      <c r="P46" s="6">
        <v>89</v>
      </c>
      <c r="Q46" t="s">
        <v>38</v>
      </c>
      <c r="R46" t="s">
        <v>56</v>
      </c>
    </row>
    <row r="47" spans="1:20" x14ac:dyDescent="0.35">
      <c r="A47" t="s">
        <v>110</v>
      </c>
      <c r="B47" t="s">
        <v>53</v>
      </c>
      <c r="C47" s="2">
        <v>46257</v>
      </c>
      <c r="D47" s="3">
        <v>0.44930555555555557</v>
      </c>
      <c r="E47" s="3">
        <v>0.47222222222222221</v>
      </c>
      <c r="F47" s="6">
        <v>67.516900000000007</v>
      </c>
      <c r="G47" s="6">
        <v>15.5364</v>
      </c>
      <c r="H47" s="6">
        <v>67.516900000000007</v>
      </c>
      <c r="I47" s="6">
        <v>15.5364</v>
      </c>
      <c r="J47" s="6">
        <v>3</v>
      </c>
      <c r="K47" s="6">
        <v>15</v>
      </c>
      <c r="L47" s="6">
        <v>25</v>
      </c>
      <c r="M47" s="6">
        <v>14.5</v>
      </c>
      <c r="N47" s="6">
        <v>27</v>
      </c>
      <c r="O47" t="s">
        <v>37</v>
      </c>
      <c r="P47" s="6">
        <v>209</v>
      </c>
      <c r="Q47" t="s">
        <v>38</v>
      </c>
      <c r="R47" t="s">
        <v>56</v>
      </c>
      <c r="T47" t="s">
        <v>68</v>
      </c>
    </row>
    <row r="48" spans="1:20" x14ac:dyDescent="0.35">
      <c r="A48" t="s">
        <v>123</v>
      </c>
      <c r="B48" t="s">
        <v>53</v>
      </c>
      <c r="C48" s="2">
        <v>46257</v>
      </c>
      <c r="D48" s="3">
        <v>0.47916666666666669</v>
      </c>
      <c r="E48" s="3">
        <v>0.49722222222222223</v>
      </c>
      <c r="F48" s="6">
        <v>67.550299999999993</v>
      </c>
      <c r="G48" s="6">
        <v>15.625999999999999</v>
      </c>
      <c r="H48" s="6">
        <v>67.550299999999993</v>
      </c>
      <c r="I48" s="6">
        <v>15.625999999999999</v>
      </c>
      <c r="J48" s="6">
        <v>3</v>
      </c>
      <c r="K48" s="6">
        <v>25</v>
      </c>
      <c r="L48" s="6">
        <v>70</v>
      </c>
      <c r="O48" t="s">
        <v>55</v>
      </c>
      <c r="P48" s="6">
        <v>198</v>
      </c>
      <c r="Q48" t="s">
        <v>38</v>
      </c>
      <c r="R48" t="s">
        <v>56</v>
      </c>
    </row>
    <row r="49" spans="1:20" x14ac:dyDescent="0.35">
      <c r="A49" t="s">
        <v>54</v>
      </c>
      <c r="B49" t="s">
        <v>53</v>
      </c>
      <c r="C49" s="2">
        <v>46257</v>
      </c>
      <c r="D49" s="3">
        <v>0.51388888888888884</v>
      </c>
      <c r="E49" s="3">
        <v>0.66666666666666663</v>
      </c>
      <c r="F49" s="6">
        <v>67.5792</v>
      </c>
      <c r="G49" s="6">
        <v>15.7844</v>
      </c>
      <c r="H49" s="7">
        <v>67.5792</v>
      </c>
      <c r="I49" s="6">
        <v>15.7844</v>
      </c>
      <c r="J49" s="6">
        <v>3</v>
      </c>
      <c r="K49">
        <v>20</v>
      </c>
      <c r="L49">
        <v>40</v>
      </c>
      <c r="M49" s="6">
        <v>13.3</v>
      </c>
      <c r="N49" s="6">
        <v>23.9</v>
      </c>
      <c r="O49" t="s">
        <v>55</v>
      </c>
      <c r="P49" s="6">
        <v>147</v>
      </c>
      <c r="Q49" t="s">
        <v>38</v>
      </c>
      <c r="R49" t="s">
        <v>56</v>
      </c>
    </row>
    <row r="50" spans="1:20" x14ac:dyDescent="0.35">
      <c r="A50" t="s">
        <v>97</v>
      </c>
      <c r="B50" t="s">
        <v>53</v>
      </c>
      <c r="C50" s="2">
        <v>46259</v>
      </c>
      <c r="D50" s="3">
        <v>0.72916666666666663</v>
      </c>
      <c r="E50" s="3">
        <v>0.83333333333333337</v>
      </c>
      <c r="F50" s="6">
        <v>67.531400000000005</v>
      </c>
      <c r="G50" s="6">
        <v>15.6182</v>
      </c>
      <c r="H50" s="6">
        <v>67.531400000000005</v>
      </c>
      <c r="I50" s="6">
        <v>15.6182</v>
      </c>
      <c r="J50" s="6">
        <v>2</v>
      </c>
      <c r="K50" s="6">
        <v>30</v>
      </c>
      <c r="L50" s="6">
        <v>60</v>
      </c>
      <c r="M50" s="6">
        <v>13.5</v>
      </c>
      <c r="N50" s="6">
        <v>26.5</v>
      </c>
      <c r="O50" t="s">
        <v>36</v>
      </c>
      <c r="P50" s="6">
        <v>126</v>
      </c>
      <c r="Q50" t="s">
        <v>124</v>
      </c>
      <c r="R50" t="s">
        <v>99</v>
      </c>
      <c r="T50" t="s">
        <v>125</v>
      </c>
    </row>
    <row r="51" spans="1:20" x14ac:dyDescent="0.35">
      <c r="A51" t="s">
        <v>112</v>
      </c>
      <c r="B51" t="s">
        <v>75</v>
      </c>
      <c r="C51" s="2">
        <v>46260</v>
      </c>
      <c r="D51" s="3">
        <v>0.49305555555555558</v>
      </c>
      <c r="E51" s="3">
        <v>0.54166666666666663</v>
      </c>
      <c r="F51" s="6">
        <v>67.504000000000005</v>
      </c>
      <c r="G51" s="6">
        <v>15.321400000000001</v>
      </c>
      <c r="H51" s="6">
        <v>67.504000000000005</v>
      </c>
      <c r="I51" s="6">
        <v>15.321400000000001</v>
      </c>
      <c r="J51" s="6">
        <v>3</v>
      </c>
      <c r="K51" s="6">
        <v>40</v>
      </c>
      <c r="L51" s="6">
        <v>140</v>
      </c>
      <c r="O51" t="s">
        <v>37</v>
      </c>
      <c r="P51" s="6">
        <v>149</v>
      </c>
      <c r="Q51" t="s">
        <v>38</v>
      </c>
      <c r="R51" t="s">
        <v>48</v>
      </c>
      <c r="T51" t="s">
        <v>125</v>
      </c>
    </row>
    <row r="52" spans="1:20" x14ac:dyDescent="0.35">
      <c r="A52" t="s">
        <v>127</v>
      </c>
      <c r="B52" t="s">
        <v>126</v>
      </c>
      <c r="C52" s="2">
        <v>46260</v>
      </c>
      <c r="D52" s="3">
        <v>0.73958333333333337</v>
      </c>
      <c r="E52" s="3">
        <v>0.79166666666666663</v>
      </c>
      <c r="F52" s="6">
        <v>67.533199999999994</v>
      </c>
      <c r="G52" s="6">
        <v>15.118499999999999</v>
      </c>
      <c r="H52" s="6">
        <v>67.533199999999994</v>
      </c>
      <c r="I52" s="6">
        <v>15.118499999999999</v>
      </c>
      <c r="J52" s="6">
        <v>3</v>
      </c>
      <c r="K52" s="6">
        <v>20</v>
      </c>
      <c r="L52" s="6">
        <v>45</v>
      </c>
      <c r="O52" t="s">
        <v>55</v>
      </c>
      <c r="P52" s="6">
        <v>108</v>
      </c>
      <c r="Q52" t="s">
        <v>38</v>
      </c>
      <c r="R52" t="s">
        <v>48</v>
      </c>
      <c r="T52" t="s">
        <v>68</v>
      </c>
    </row>
    <row r="53" spans="1:20" x14ac:dyDescent="0.35">
      <c r="A53" t="s">
        <v>110</v>
      </c>
      <c r="B53" t="s">
        <v>53</v>
      </c>
      <c r="C53" s="2">
        <v>46267</v>
      </c>
      <c r="D53" s="3">
        <v>0.37847222222222221</v>
      </c>
      <c r="E53" s="3">
        <v>0.39583333333333331</v>
      </c>
      <c r="F53" s="6">
        <v>67.516900000000007</v>
      </c>
      <c r="G53" s="6">
        <v>15.5364</v>
      </c>
      <c r="H53" s="6">
        <v>67.516900000000007</v>
      </c>
      <c r="I53" s="6">
        <v>15.5364</v>
      </c>
      <c r="J53" s="6">
        <v>2</v>
      </c>
      <c r="K53" s="6">
        <v>12</v>
      </c>
      <c r="L53" s="6">
        <v>40</v>
      </c>
      <c r="M53" s="6">
        <v>12.8</v>
      </c>
      <c r="N53" s="6">
        <v>27</v>
      </c>
      <c r="O53" t="s">
        <v>82</v>
      </c>
      <c r="Q53" t="s">
        <v>38</v>
      </c>
      <c r="R53" t="s">
        <v>56</v>
      </c>
      <c r="T53" t="s">
        <v>140</v>
      </c>
    </row>
    <row r="54" spans="1:20" x14ac:dyDescent="0.35">
      <c r="A54" t="s">
        <v>123</v>
      </c>
      <c r="B54" t="s">
        <v>53</v>
      </c>
      <c r="C54" s="2">
        <v>46267</v>
      </c>
      <c r="D54" s="3">
        <v>0.40625</v>
      </c>
      <c r="E54" s="3">
        <v>0.4375</v>
      </c>
      <c r="F54" s="6">
        <v>67.550299999999993</v>
      </c>
      <c r="G54" s="6">
        <v>15.625999999999999</v>
      </c>
      <c r="H54" s="6">
        <v>67.550299999999993</v>
      </c>
      <c r="I54" s="6">
        <v>15.625999999999999</v>
      </c>
      <c r="J54" s="6">
        <v>2</v>
      </c>
      <c r="K54" s="6">
        <v>25</v>
      </c>
      <c r="L54" s="6">
        <v>80</v>
      </c>
      <c r="Q54" t="s">
        <v>38</v>
      </c>
      <c r="R54" t="s">
        <v>56</v>
      </c>
      <c r="T54" t="s">
        <v>140</v>
      </c>
    </row>
    <row r="55" spans="1:20" x14ac:dyDescent="0.35">
      <c r="A55" t="s">
        <v>54</v>
      </c>
      <c r="B55" t="s">
        <v>53</v>
      </c>
      <c r="C55" s="2">
        <v>46267</v>
      </c>
      <c r="D55" s="3">
        <v>0.44027777777777777</v>
      </c>
      <c r="E55" s="3">
        <v>0.56527777777777777</v>
      </c>
      <c r="F55" s="6">
        <v>67.5792</v>
      </c>
      <c r="G55" s="6">
        <v>15.7844</v>
      </c>
      <c r="H55" s="7">
        <v>67.5792</v>
      </c>
      <c r="I55" s="6">
        <v>15.7844</v>
      </c>
      <c r="J55" s="6">
        <v>2</v>
      </c>
      <c r="K55" s="6">
        <v>10</v>
      </c>
      <c r="L55" s="6">
        <v>50</v>
      </c>
      <c r="M55" s="6">
        <v>13.1</v>
      </c>
      <c r="N55" s="6">
        <v>27.4</v>
      </c>
      <c r="Q55" t="s">
        <v>38</v>
      </c>
      <c r="R55" t="s">
        <v>56</v>
      </c>
      <c r="S55" t="s">
        <v>144</v>
      </c>
      <c r="T55" t="s">
        <v>68</v>
      </c>
    </row>
    <row r="56" spans="1:20" x14ac:dyDescent="0.35">
      <c r="A56" t="s">
        <v>44</v>
      </c>
      <c r="B56" t="s">
        <v>7</v>
      </c>
      <c r="C56" s="2">
        <v>46267</v>
      </c>
      <c r="D56" s="3">
        <v>0.72916666666666663</v>
      </c>
      <c r="E56" s="3">
        <v>0.8125</v>
      </c>
      <c r="F56" s="6">
        <v>67.503900000000002</v>
      </c>
      <c r="G56" s="6">
        <v>15.3994</v>
      </c>
      <c r="H56" s="6">
        <v>67.503900000000002</v>
      </c>
      <c r="I56" s="6">
        <v>15.3994</v>
      </c>
      <c r="J56" s="6">
        <v>2</v>
      </c>
      <c r="K56" s="6">
        <v>30</v>
      </c>
      <c r="L56" s="6">
        <v>40</v>
      </c>
      <c r="Q56" t="s">
        <v>38</v>
      </c>
      <c r="R56" t="s">
        <v>56</v>
      </c>
      <c r="T56" t="s">
        <v>68</v>
      </c>
    </row>
    <row r="57" spans="1:20" x14ac:dyDescent="0.35">
      <c r="A57" t="s">
        <v>54</v>
      </c>
      <c r="B57" t="s">
        <v>53</v>
      </c>
      <c r="C57" s="2">
        <v>46269</v>
      </c>
      <c r="D57" s="3">
        <v>0.41666666666666669</v>
      </c>
      <c r="E57" s="3">
        <v>0.45833333333333331</v>
      </c>
      <c r="F57" s="6">
        <v>67.5792</v>
      </c>
      <c r="G57" s="6">
        <v>15.7844</v>
      </c>
      <c r="H57" s="7">
        <v>67.5792</v>
      </c>
      <c r="I57" s="6">
        <v>15.7844</v>
      </c>
      <c r="J57" s="6">
        <v>2</v>
      </c>
      <c r="K57" s="6">
        <v>10</v>
      </c>
      <c r="L57" s="6">
        <v>50</v>
      </c>
      <c r="Q57" t="s">
        <v>38</v>
      </c>
      <c r="R57" t="s">
        <v>48</v>
      </c>
      <c r="T57" t="s">
        <v>68</v>
      </c>
    </row>
    <row r="58" spans="1:20" x14ac:dyDescent="0.35">
      <c r="A58" t="s">
        <v>141</v>
      </c>
      <c r="B58" t="s">
        <v>53</v>
      </c>
      <c r="C58" s="2">
        <v>46269</v>
      </c>
      <c r="D58" s="3">
        <v>0.4826388888888889</v>
      </c>
      <c r="E58" s="3">
        <v>0.53125</v>
      </c>
      <c r="F58" s="6">
        <v>67.572000000000003</v>
      </c>
      <c r="G58" s="6">
        <v>15.7935</v>
      </c>
      <c r="H58" s="6">
        <v>67.572000000000003</v>
      </c>
      <c r="I58" s="6">
        <v>15.7935</v>
      </c>
      <c r="J58" s="6">
        <v>2</v>
      </c>
      <c r="K58" s="6">
        <v>100</v>
      </c>
      <c r="L58" s="6">
        <v>150</v>
      </c>
      <c r="Q58" t="s">
        <v>38</v>
      </c>
      <c r="R58" t="s">
        <v>48</v>
      </c>
      <c r="T58" t="s">
        <v>125</v>
      </c>
    </row>
    <row r="59" spans="1:20" x14ac:dyDescent="0.35">
      <c r="A59" t="s">
        <v>44</v>
      </c>
      <c r="B59" t="s">
        <v>7</v>
      </c>
      <c r="C59" s="2">
        <v>46270</v>
      </c>
      <c r="D59" s="3">
        <v>0.4375</v>
      </c>
      <c r="E59" s="3">
        <v>0.52083333333333337</v>
      </c>
      <c r="F59" s="6">
        <v>67.503900000000002</v>
      </c>
      <c r="G59" s="6">
        <v>15.3994</v>
      </c>
      <c r="H59" s="6">
        <v>67.503900000000002</v>
      </c>
      <c r="I59" s="6">
        <v>15.3994</v>
      </c>
      <c r="J59" s="6">
        <v>5</v>
      </c>
      <c r="K59" s="6">
        <v>30</v>
      </c>
      <c r="L59" s="6">
        <v>40</v>
      </c>
      <c r="Q59" t="s">
        <v>38</v>
      </c>
      <c r="R59" t="s">
        <v>48</v>
      </c>
      <c r="S59" t="s">
        <v>122</v>
      </c>
      <c r="T59" t="s">
        <v>68</v>
      </c>
    </row>
    <row r="60" spans="1:20" x14ac:dyDescent="0.35">
      <c r="A60" t="s">
        <v>112</v>
      </c>
      <c r="B60" t="s">
        <v>75</v>
      </c>
      <c r="C60" s="2">
        <v>46270</v>
      </c>
      <c r="D60" s="3">
        <v>0.54166666666666663</v>
      </c>
      <c r="E60" s="3">
        <v>0.59027777777777779</v>
      </c>
      <c r="F60" s="6">
        <v>67.504000000000005</v>
      </c>
      <c r="G60" s="6">
        <v>15.321400000000001</v>
      </c>
      <c r="H60" s="6">
        <v>67.504000000000005</v>
      </c>
      <c r="I60" s="6">
        <v>15.321400000000001</v>
      </c>
      <c r="J60" s="6">
        <v>5</v>
      </c>
      <c r="K60" s="6">
        <v>50</v>
      </c>
      <c r="L60" s="6">
        <v>150</v>
      </c>
      <c r="Q60" t="s">
        <v>38</v>
      </c>
      <c r="R60" t="s">
        <v>48</v>
      </c>
      <c r="T60" t="s">
        <v>125</v>
      </c>
    </row>
    <row r="61" spans="1:20" x14ac:dyDescent="0.35">
      <c r="A61" t="s">
        <v>44</v>
      </c>
      <c r="B61" t="s">
        <v>7</v>
      </c>
      <c r="C61" s="2">
        <v>46271</v>
      </c>
      <c r="D61" s="3">
        <v>0.35416666666666669</v>
      </c>
      <c r="E61" s="3">
        <v>0.53125</v>
      </c>
      <c r="F61" s="6">
        <v>67.503900000000002</v>
      </c>
      <c r="G61" s="6">
        <v>15.3994</v>
      </c>
      <c r="H61" s="6">
        <v>67.503900000000002</v>
      </c>
      <c r="I61" s="6">
        <v>15.3994</v>
      </c>
      <c r="J61" s="6">
        <v>5</v>
      </c>
      <c r="K61" s="6">
        <v>30</v>
      </c>
      <c r="L61" s="6">
        <v>40</v>
      </c>
      <c r="Q61" t="s">
        <v>38</v>
      </c>
      <c r="R61" t="s">
        <v>48</v>
      </c>
      <c r="S61" t="s">
        <v>122</v>
      </c>
      <c r="T61" t="s">
        <v>68</v>
      </c>
    </row>
    <row r="62" spans="1:20" x14ac:dyDescent="0.35">
      <c r="A62" t="s">
        <v>42</v>
      </c>
      <c r="B62" t="s">
        <v>7</v>
      </c>
      <c r="C62" s="2">
        <v>46271</v>
      </c>
      <c r="D62" s="3">
        <v>0.54374999999999996</v>
      </c>
      <c r="E62" s="3">
        <v>0.56319444444444444</v>
      </c>
      <c r="F62" s="6">
        <v>67.516000000000005</v>
      </c>
      <c r="G62" s="6">
        <v>15.481199999999999</v>
      </c>
      <c r="H62" s="6">
        <v>67.516000000000005</v>
      </c>
      <c r="I62" s="6">
        <v>15.481199999999999</v>
      </c>
      <c r="J62" s="6">
        <v>4</v>
      </c>
      <c r="K62" s="6">
        <v>15</v>
      </c>
      <c r="L62" s="6">
        <v>50</v>
      </c>
      <c r="Q62" t="s">
        <v>38</v>
      </c>
      <c r="R62" t="s">
        <v>48</v>
      </c>
    </row>
    <row r="63" spans="1:20" x14ac:dyDescent="0.35">
      <c r="C63" s="4"/>
      <c r="D63" s="3"/>
      <c r="E63" s="3"/>
    </row>
    <row r="64" spans="1:20" x14ac:dyDescent="0.35">
      <c r="C64" s="4"/>
      <c r="D64" s="3"/>
      <c r="E64" s="3"/>
    </row>
    <row r="65" spans="3:5" x14ac:dyDescent="0.35">
      <c r="C65" s="4"/>
      <c r="D65" s="3"/>
      <c r="E65" s="3"/>
    </row>
    <row r="66" spans="3:5" x14ac:dyDescent="0.35">
      <c r="C66" s="4"/>
      <c r="D66" s="3"/>
      <c r="E66" s="3"/>
    </row>
    <row r="67" spans="3:5" x14ac:dyDescent="0.35">
      <c r="C67" s="4"/>
      <c r="D67" s="3"/>
      <c r="E67" s="3"/>
    </row>
    <row r="68" spans="3:5" x14ac:dyDescent="0.35">
      <c r="C68" s="4"/>
      <c r="D68" s="3"/>
      <c r="E68" s="3"/>
    </row>
    <row r="69" spans="3:5" x14ac:dyDescent="0.35">
      <c r="C69" s="4"/>
      <c r="D69" s="3"/>
      <c r="E69" s="3"/>
    </row>
    <row r="70" spans="3:5" x14ac:dyDescent="0.35">
      <c r="C70" s="4"/>
      <c r="D70" s="3"/>
      <c r="E70" s="3"/>
    </row>
    <row r="71" spans="3:5" x14ac:dyDescent="0.35">
      <c r="C71" s="4"/>
      <c r="D71" s="3"/>
      <c r="E71" s="3"/>
    </row>
    <row r="72" spans="3:5" x14ac:dyDescent="0.35">
      <c r="C72" s="4"/>
      <c r="D72" s="3"/>
      <c r="E72" s="3"/>
    </row>
    <row r="73" spans="3:5" x14ac:dyDescent="0.35">
      <c r="C73" s="4"/>
      <c r="D73" s="3"/>
      <c r="E73" s="3"/>
    </row>
    <row r="74" spans="3:5" x14ac:dyDescent="0.35">
      <c r="C74" s="4"/>
      <c r="D74" s="3"/>
      <c r="E74" s="3"/>
    </row>
    <row r="75" spans="3:5" x14ac:dyDescent="0.35">
      <c r="C75" s="4"/>
      <c r="D75" s="3"/>
      <c r="E75" s="3"/>
    </row>
    <row r="76" spans="3:5" x14ac:dyDescent="0.35">
      <c r="C76" s="4"/>
      <c r="D76" s="3"/>
      <c r="E76" s="3"/>
    </row>
    <row r="77" spans="3:5" x14ac:dyDescent="0.35">
      <c r="C77" s="4"/>
      <c r="D77" s="3"/>
      <c r="E77" s="3"/>
    </row>
    <row r="78" spans="3:5" x14ac:dyDescent="0.35">
      <c r="C78" s="4"/>
      <c r="D78" s="3"/>
      <c r="E78" s="3"/>
    </row>
    <row r="79" spans="3:5" x14ac:dyDescent="0.35">
      <c r="C79" s="4"/>
      <c r="D79" s="3"/>
      <c r="E79" s="3"/>
    </row>
    <row r="80" spans="3:5" x14ac:dyDescent="0.35">
      <c r="C80" s="4"/>
      <c r="D80" s="3"/>
      <c r="E80" s="3"/>
    </row>
    <row r="81" spans="3:5" x14ac:dyDescent="0.35">
      <c r="C81" s="4"/>
      <c r="D81" s="3"/>
      <c r="E81" s="3"/>
    </row>
    <row r="82" spans="3:5" x14ac:dyDescent="0.35">
      <c r="C82" s="4"/>
      <c r="D82" s="3"/>
      <c r="E82" s="3"/>
    </row>
    <row r="83" spans="3:5" x14ac:dyDescent="0.35">
      <c r="C83" s="4"/>
      <c r="D83" s="3"/>
      <c r="E83" s="3"/>
    </row>
    <row r="84" spans="3:5" x14ac:dyDescent="0.35">
      <c r="C84" s="4"/>
      <c r="D84" s="3"/>
      <c r="E84" s="3"/>
    </row>
    <row r="85" spans="3:5" x14ac:dyDescent="0.35">
      <c r="C85" s="4"/>
      <c r="D85" s="3"/>
      <c r="E85" s="3"/>
    </row>
    <row r="86" spans="3:5" x14ac:dyDescent="0.35">
      <c r="C86" s="4"/>
      <c r="D86" s="3"/>
      <c r="E86" s="3"/>
    </row>
    <row r="87" spans="3:5" x14ac:dyDescent="0.35">
      <c r="C87" s="4"/>
      <c r="D87" s="3"/>
      <c r="E87" s="3"/>
    </row>
    <row r="88" spans="3:5" x14ac:dyDescent="0.35">
      <c r="C88" s="4"/>
      <c r="D88" s="3"/>
      <c r="E88" s="3"/>
    </row>
    <row r="89" spans="3:5" x14ac:dyDescent="0.35">
      <c r="C89" s="4"/>
      <c r="D89" s="3"/>
      <c r="E89" s="3"/>
    </row>
    <row r="90" spans="3:5" x14ac:dyDescent="0.35">
      <c r="C90" s="4"/>
      <c r="D90" s="3"/>
      <c r="E90" s="3"/>
    </row>
    <row r="91" spans="3:5" x14ac:dyDescent="0.35">
      <c r="C91" s="4"/>
      <c r="D91" s="3"/>
      <c r="E91" s="3"/>
    </row>
    <row r="92" spans="3:5" x14ac:dyDescent="0.35">
      <c r="C92" s="4"/>
      <c r="D92" s="3"/>
      <c r="E92" s="3"/>
    </row>
    <row r="93" spans="3:5" x14ac:dyDescent="0.35">
      <c r="C93" s="4"/>
      <c r="D93" s="3"/>
      <c r="E93" s="3"/>
    </row>
    <row r="94" spans="3:5" x14ac:dyDescent="0.35">
      <c r="C94" s="4"/>
      <c r="D94" s="3"/>
      <c r="E94" s="3"/>
    </row>
    <row r="95" spans="3:5" x14ac:dyDescent="0.35">
      <c r="C95" s="4"/>
      <c r="D95" s="3"/>
      <c r="E95" s="3"/>
    </row>
    <row r="96" spans="3:5" x14ac:dyDescent="0.35">
      <c r="C96" s="4"/>
      <c r="D96" s="3"/>
      <c r="E96" s="3"/>
    </row>
    <row r="97" spans="3:5" x14ac:dyDescent="0.35">
      <c r="C97" s="4"/>
      <c r="D97" s="3"/>
      <c r="E97" s="3"/>
    </row>
    <row r="98" spans="3:5" x14ac:dyDescent="0.35">
      <c r="C98" s="4"/>
      <c r="D98" s="3"/>
      <c r="E98" s="3"/>
    </row>
    <row r="99" spans="3:5" x14ac:dyDescent="0.35">
      <c r="C99" s="4"/>
      <c r="D99" s="3"/>
      <c r="E99" s="3"/>
    </row>
    <row r="100" spans="3:5" x14ac:dyDescent="0.35">
      <c r="C100" s="4"/>
      <c r="D100" s="3"/>
      <c r="E100" s="3"/>
    </row>
    <row r="101" spans="3:5" x14ac:dyDescent="0.35">
      <c r="C101" s="4"/>
      <c r="D101" s="3"/>
      <c r="E101" s="3"/>
    </row>
    <row r="102" spans="3:5" x14ac:dyDescent="0.35">
      <c r="C102" s="4"/>
      <c r="D102" s="3"/>
      <c r="E102" s="3"/>
    </row>
    <row r="103" spans="3:5" x14ac:dyDescent="0.35">
      <c r="C103" s="4"/>
      <c r="D103" s="3"/>
      <c r="E103" s="3"/>
    </row>
    <row r="104" spans="3:5" x14ac:dyDescent="0.35">
      <c r="C104" s="4"/>
      <c r="D104" s="3"/>
      <c r="E104" s="3"/>
    </row>
    <row r="105" spans="3:5" x14ac:dyDescent="0.35">
      <c r="C105" s="4"/>
      <c r="D105" s="3"/>
      <c r="E105" s="3"/>
    </row>
    <row r="106" spans="3:5" x14ac:dyDescent="0.35">
      <c r="C106" s="4"/>
      <c r="D106" s="3"/>
      <c r="E106" s="3"/>
    </row>
    <row r="107" spans="3:5" x14ac:dyDescent="0.35">
      <c r="C107" s="4"/>
      <c r="D107" s="3"/>
      <c r="E107" s="3"/>
    </row>
    <row r="108" spans="3:5" x14ac:dyDescent="0.35">
      <c r="C108" s="4"/>
      <c r="D108" s="3"/>
      <c r="E108" s="3"/>
    </row>
    <row r="109" spans="3:5" x14ac:dyDescent="0.35">
      <c r="C109" s="4"/>
      <c r="D109" s="3"/>
      <c r="E109" s="3"/>
    </row>
    <row r="110" spans="3:5" x14ac:dyDescent="0.35">
      <c r="C110" s="4"/>
      <c r="D110" s="3"/>
      <c r="E110" s="3"/>
    </row>
    <row r="111" spans="3:5" x14ac:dyDescent="0.35">
      <c r="C111" s="4"/>
      <c r="D111" s="3"/>
      <c r="E111" s="3"/>
    </row>
    <row r="112" spans="3:5" x14ac:dyDescent="0.35">
      <c r="C112" s="4"/>
      <c r="D112" s="3"/>
      <c r="E112" s="3"/>
    </row>
    <row r="113" spans="3:5" x14ac:dyDescent="0.35">
      <c r="C113" s="4"/>
      <c r="D113" s="3"/>
      <c r="E113" s="3"/>
    </row>
    <row r="114" spans="3:5" x14ac:dyDescent="0.35">
      <c r="C114" s="4"/>
      <c r="D114" s="3"/>
      <c r="E114" s="3"/>
    </row>
    <row r="115" spans="3:5" x14ac:dyDescent="0.35">
      <c r="C115" s="4"/>
      <c r="D115" s="3"/>
      <c r="E115" s="3"/>
    </row>
    <row r="116" spans="3:5" x14ac:dyDescent="0.35">
      <c r="C116" s="4"/>
      <c r="D116" s="3"/>
      <c r="E116" s="3"/>
    </row>
    <row r="117" spans="3:5" x14ac:dyDescent="0.35">
      <c r="C117" s="4"/>
      <c r="D117" s="3"/>
      <c r="E117" s="3"/>
    </row>
    <row r="118" spans="3:5" x14ac:dyDescent="0.35">
      <c r="C118" s="4"/>
      <c r="D118" s="3"/>
      <c r="E118" s="3"/>
    </row>
    <row r="119" spans="3:5" x14ac:dyDescent="0.35">
      <c r="C119" s="4"/>
      <c r="D119" s="3"/>
      <c r="E119" s="3"/>
    </row>
    <row r="120" spans="3:5" x14ac:dyDescent="0.35">
      <c r="C120" s="4"/>
      <c r="D120" s="3"/>
      <c r="E120" s="3"/>
    </row>
    <row r="121" spans="3:5" x14ac:dyDescent="0.35">
      <c r="C121" s="4"/>
      <c r="D121" s="3"/>
      <c r="E121" s="3"/>
    </row>
    <row r="122" spans="3:5" x14ac:dyDescent="0.35">
      <c r="C122" s="4"/>
      <c r="D122" s="3"/>
      <c r="E122" s="3"/>
    </row>
    <row r="123" spans="3:5" x14ac:dyDescent="0.35">
      <c r="C123" s="4"/>
      <c r="D123" s="3"/>
      <c r="E123" s="3"/>
    </row>
    <row r="124" spans="3:5" x14ac:dyDescent="0.35">
      <c r="C124" s="4"/>
      <c r="D124" s="3"/>
      <c r="E124" s="3"/>
    </row>
    <row r="125" spans="3:5" x14ac:dyDescent="0.35">
      <c r="C125" s="4"/>
      <c r="D125" s="3"/>
      <c r="E125" s="3"/>
    </row>
    <row r="126" spans="3:5" x14ac:dyDescent="0.35">
      <c r="C126" s="4"/>
      <c r="D126" s="3"/>
      <c r="E126" s="3"/>
    </row>
    <row r="127" spans="3:5" x14ac:dyDescent="0.35">
      <c r="C127" s="4"/>
      <c r="D127" s="3"/>
      <c r="E127" s="3"/>
    </row>
    <row r="128" spans="3:5" x14ac:dyDescent="0.35">
      <c r="C128" s="4"/>
      <c r="D128" s="3"/>
      <c r="E128" s="3"/>
    </row>
    <row r="129" spans="3:5" x14ac:dyDescent="0.35">
      <c r="C129" s="4"/>
      <c r="D129" s="3"/>
      <c r="E129" s="3"/>
    </row>
    <row r="130" spans="3:5" x14ac:dyDescent="0.35">
      <c r="C130" s="4"/>
      <c r="D130" s="3"/>
      <c r="E130" s="3"/>
    </row>
    <row r="131" spans="3:5" x14ac:dyDescent="0.35">
      <c r="C131" s="4"/>
      <c r="D131" s="3"/>
      <c r="E131" s="3"/>
    </row>
    <row r="132" spans="3:5" x14ac:dyDescent="0.35">
      <c r="C132" s="4"/>
      <c r="D132" s="3"/>
      <c r="E132" s="3"/>
    </row>
    <row r="133" spans="3:5" x14ac:dyDescent="0.35">
      <c r="C133" s="4"/>
      <c r="D133" s="3"/>
      <c r="E133" s="3"/>
    </row>
    <row r="134" spans="3:5" x14ac:dyDescent="0.35">
      <c r="C134" s="4"/>
      <c r="D134" s="3"/>
      <c r="E134" s="3"/>
    </row>
    <row r="135" spans="3:5" x14ac:dyDescent="0.35">
      <c r="C135" s="4"/>
      <c r="D135" s="3"/>
      <c r="E135" s="3"/>
    </row>
    <row r="136" spans="3:5" x14ac:dyDescent="0.35">
      <c r="C136" s="4"/>
      <c r="D136" s="3"/>
      <c r="E136" s="3"/>
    </row>
    <row r="137" spans="3:5" x14ac:dyDescent="0.35">
      <c r="C137" s="4"/>
      <c r="D137" s="3"/>
      <c r="E137" s="3"/>
    </row>
    <row r="138" spans="3:5" x14ac:dyDescent="0.35">
      <c r="C138" s="4"/>
      <c r="D138" s="3"/>
      <c r="E138" s="3"/>
    </row>
    <row r="139" spans="3:5" x14ac:dyDescent="0.35">
      <c r="C139" s="4"/>
      <c r="D139" s="3"/>
      <c r="E139" s="3"/>
    </row>
    <row r="140" spans="3:5" x14ac:dyDescent="0.35">
      <c r="C140" s="4"/>
      <c r="D140" s="3"/>
      <c r="E140" s="3"/>
    </row>
    <row r="141" spans="3:5" x14ac:dyDescent="0.35">
      <c r="C141" s="4"/>
      <c r="D141" s="3"/>
      <c r="E141" s="3"/>
    </row>
    <row r="142" spans="3:5" x14ac:dyDescent="0.35">
      <c r="C142" s="4"/>
      <c r="D142" s="3"/>
      <c r="E142" s="3"/>
    </row>
    <row r="143" spans="3:5" x14ac:dyDescent="0.35">
      <c r="C143" s="4"/>
      <c r="D143" s="3"/>
      <c r="E143" s="3"/>
    </row>
    <row r="144" spans="3:5" x14ac:dyDescent="0.35">
      <c r="C144" s="4"/>
      <c r="D144" s="3"/>
      <c r="E144" s="3"/>
    </row>
    <row r="145" spans="3:5" x14ac:dyDescent="0.35">
      <c r="C145" s="4"/>
      <c r="D145" s="3"/>
      <c r="E145" s="3"/>
    </row>
    <row r="146" spans="3:5" x14ac:dyDescent="0.35">
      <c r="C146" s="4"/>
      <c r="D146" s="3"/>
      <c r="E146" s="3"/>
    </row>
    <row r="147" spans="3:5" x14ac:dyDescent="0.35">
      <c r="C147" s="4"/>
      <c r="D147" s="3"/>
      <c r="E147" s="3"/>
    </row>
    <row r="148" spans="3:5" x14ac:dyDescent="0.35">
      <c r="C148" s="4"/>
      <c r="D148" s="3"/>
      <c r="E148" s="3"/>
    </row>
    <row r="149" spans="3:5" x14ac:dyDescent="0.35">
      <c r="C149" s="4"/>
      <c r="D149" s="3"/>
      <c r="E149" s="3"/>
    </row>
    <row r="150" spans="3:5" x14ac:dyDescent="0.35">
      <c r="C150" s="4"/>
      <c r="D150" s="3"/>
      <c r="E150" s="3"/>
    </row>
    <row r="151" spans="3:5" x14ac:dyDescent="0.35">
      <c r="C151" s="4"/>
      <c r="D151" s="3"/>
      <c r="E151" s="3"/>
    </row>
    <row r="152" spans="3:5" x14ac:dyDescent="0.35">
      <c r="C152" s="4"/>
      <c r="D152" s="3"/>
      <c r="E152" s="3"/>
    </row>
    <row r="153" spans="3:5" x14ac:dyDescent="0.35">
      <c r="C153" s="4"/>
      <c r="D153" s="3"/>
      <c r="E153" s="3"/>
    </row>
    <row r="154" spans="3:5" x14ac:dyDescent="0.35">
      <c r="C154" s="4"/>
      <c r="D154" s="3"/>
      <c r="E154" s="3"/>
    </row>
    <row r="155" spans="3:5" x14ac:dyDescent="0.35">
      <c r="C155" s="4"/>
      <c r="D155" s="3"/>
      <c r="E155" s="3"/>
    </row>
    <row r="156" spans="3:5" x14ac:dyDescent="0.35">
      <c r="C156" s="4"/>
      <c r="D156" s="3"/>
      <c r="E156" s="3"/>
    </row>
    <row r="157" spans="3:5" x14ac:dyDescent="0.35">
      <c r="C157" s="4"/>
      <c r="D157" s="3"/>
      <c r="E157" s="3"/>
    </row>
    <row r="158" spans="3:5" x14ac:dyDescent="0.35">
      <c r="C158" s="4"/>
      <c r="D158" s="3"/>
      <c r="E158" s="3"/>
    </row>
    <row r="159" spans="3:5" x14ac:dyDescent="0.35">
      <c r="C159" s="4"/>
      <c r="D159" s="3"/>
      <c r="E159" s="3"/>
    </row>
    <row r="160" spans="3:5" x14ac:dyDescent="0.35">
      <c r="C160" s="4"/>
      <c r="D160" s="3"/>
      <c r="E160" s="3"/>
    </row>
    <row r="161" spans="3:5" x14ac:dyDescent="0.35">
      <c r="C161" s="4"/>
      <c r="D161" s="3"/>
      <c r="E161" s="3"/>
    </row>
    <row r="162" spans="3:5" x14ac:dyDescent="0.35">
      <c r="C162" s="4"/>
      <c r="D162" s="3"/>
      <c r="E162" s="3"/>
    </row>
    <row r="163" spans="3:5" x14ac:dyDescent="0.35">
      <c r="C163" s="4"/>
      <c r="D163" s="3"/>
      <c r="E163" s="3"/>
    </row>
    <row r="164" spans="3:5" x14ac:dyDescent="0.35">
      <c r="C164" s="4"/>
      <c r="D164" s="3"/>
      <c r="E164" s="3"/>
    </row>
    <row r="165" spans="3:5" x14ac:dyDescent="0.35">
      <c r="C165" s="4"/>
      <c r="D165" s="3"/>
      <c r="E165" s="3"/>
    </row>
    <row r="166" spans="3:5" x14ac:dyDescent="0.35">
      <c r="C166" s="4"/>
      <c r="D166" s="3"/>
      <c r="E166" s="3"/>
    </row>
    <row r="167" spans="3:5" x14ac:dyDescent="0.35">
      <c r="C167" s="4"/>
      <c r="D167" s="3"/>
      <c r="E167" s="3"/>
    </row>
    <row r="168" spans="3:5" x14ac:dyDescent="0.35">
      <c r="C168" s="4"/>
      <c r="D168" s="3"/>
      <c r="E168" s="3"/>
    </row>
    <row r="169" spans="3:5" x14ac:dyDescent="0.35">
      <c r="C169" s="4"/>
      <c r="D169" s="3"/>
      <c r="E169" s="3"/>
    </row>
    <row r="170" spans="3:5" x14ac:dyDescent="0.35">
      <c r="C170" s="4"/>
      <c r="D170" s="3"/>
      <c r="E170" s="3"/>
    </row>
    <row r="171" spans="3:5" x14ac:dyDescent="0.35">
      <c r="C171" s="4"/>
      <c r="D171" s="3"/>
      <c r="E171" s="3"/>
    </row>
    <row r="172" spans="3:5" x14ac:dyDescent="0.35">
      <c r="C172" s="4"/>
      <c r="D172" s="3"/>
      <c r="E172" s="3"/>
    </row>
    <row r="173" spans="3:5" x14ac:dyDescent="0.35">
      <c r="C173" s="4"/>
      <c r="D173" s="3"/>
      <c r="E173" s="3"/>
    </row>
    <row r="174" spans="3:5" x14ac:dyDescent="0.35">
      <c r="C174" s="4"/>
      <c r="D174" s="3"/>
      <c r="E174" s="3"/>
    </row>
    <row r="175" spans="3:5" x14ac:dyDescent="0.35">
      <c r="C175" s="4"/>
      <c r="D175" s="3"/>
      <c r="E175" s="3"/>
    </row>
    <row r="176" spans="3:5" x14ac:dyDescent="0.35">
      <c r="C176" s="4"/>
      <c r="D176" s="3"/>
      <c r="E176" s="3"/>
    </row>
    <row r="177" spans="3:5" x14ac:dyDescent="0.35">
      <c r="C177" s="4"/>
      <c r="D177" s="3"/>
      <c r="E177" s="3"/>
    </row>
    <row r="178" spans="3:5" x14ac:dyDescent="0.35">
      <c r="C178" s="4"/>
      <c r="D178" s="3"/>
      <c r="E178" s="3"/>
    </row>
    <row r="179" spans="3:5" x14ac:dyDescent="0.35">
      <c r="C179" s="4"/>
      <c r="D179" s="3"/>
      <c r="E179" s="3"/>
    </row>
    <row r="180" spans="3:5" x14ac:dyDescent="0.35">
      <c r="C180" s="4"/>
      <c r="D180" s="3"/>
      <c r="E180" s="3"/>
    </row>
    <row r="181" spans="3:5" x14ac:dyDescent="0.35">
      <c r="C181" s="4"/>
      <c r="D181" s="3"/>
      <c r="E181" s="3"/>
    </row>
    <row r="182" spans="3:5" x14ac:dyDescent="0.35">
      <c r="C182" s="4"/>
      <c r="D182" s="3"/>
      <c r="E182" s="3"/>
    </row>
    <row r="183" spans="3:5" x14ac:dyDescent="0.35">
      <c r="C183" s="4"/>
      <c r="D183" s="3"/>
      <c r="E183" s="3"/>
    </row>
    <row r="184" spans="3:5" x14ac:dyDescent="0.35">
      <c r="C184" s="4"/>
      <c r="D184" s="3"/>
      <c r="E184" s="3"/>
    </row>
    <row r="185" spans="3:5" x14ac:dyDescent="0.35">
      <c r="C185" s="4"/>
      <c r="D185" s="3"/>
      <c r="E185" s="3"/>
    </row>
    <row r="186" spans="3:5" x14ac:dyDescent="0.35">
      <c r="C186" s="4"/>
      <c r="D186" s="3"/>
      <c r="E186" s="3"/>
    </row>
    <row r="187" spans="3:5" x14ac:dyDescent="0.35">
      <c r="C187" s="4"/>
      <c r="D187" s="3"/>
      <c r="E187" s="3"/>
    </row>
    <row r="188" spans="3:5" x14ac:dyDescent="0.35">
      <c r="C188" s="4"/>
      <c r="D188" s="3"/>
      <c r="E188" s="3"/>
    </row>
    <row r="189" spans="3:5" x14ac:dyDescent="0.35">
      <c r="C189" s="4"/>
      <c r="D189" s="3"/>
      <c r="E189" s="3"/>
    </row>
    <row r="190" spans="3:5" x14ac:dyDescent="0.35">
      <c r="C190" s="4"/>
      <c r="D190" s="3"/>
      <c r="E190" s="3"/>
    </row>
    <row r="191" spans="3:5" x14ac:dyDescent="0.35">
      <c r="C191" s="4"/>
      <c r="D191" s="3"/>
      <c r="E191" s="3"/>
    </row>
    <row r="192" spans="3:5" x14ac:dyDescent="0.35">
      <c r="C192" s="4"/>
      <c r="D192" s="3"/>
      <c r="E192" s="3"/>
    </row>
    <row r="193" spans="3:5" x14ac:dyDescent="0.35">
      <c r="C193" s="4"/>
      <c r="D193" s="3"/>
      <c r="E193" s="3"/>
    </row>
    <row r="194" spans="3:5" x14ac:dyDescent="0.35">
      <c r="C194" s="4"/>
      <c r="D194" s="3"/>
      <c r="E194" s="3"/>
    </row>
    <row r="195" spans="3:5" x14ac:dyDescent="0.35">
      <c r="C195" s="4"/>
      <c r="D195" s="3"/>
      <c r="E195" s="3"/>
    </row>
    <row r="196" spans="3:5" x14ac:dyDescent="0.35">
      <c r="C196" s="4"/>
      <c r="D196" s="3"/>
      <c r="E196" s="3"/>
    </row>
    <row r="197" spans="3:5" x14ac:dyDescent="0.35">
      <c r="C197" s="4"/>
      <c r="D197" s="3"/>
      <c r="E197" s="3"/>
    </row>
    <row r="198" spans="3:5" x14ac:dyDescent="0.35">
      <c r="C198" s="4"/>
      <c r="D198" s="3"/>
      <c r="E198" s="3"/>
    </row>
    <row r="199" spans="3:5" x14ac:dyDescent="0.35">
      <c r="C199" s="4"/>
      <c r="D199" s="3"/>
      <c r="E199" s="3"/>
    </row>
    <row r="200" spans="3:5" x14ac:dyDescent="0.35">
      <c r="C200" s="4"/>
      <c r="D200" s="3"/>
      <c r="E200" s="3"/>
    </row>
    <row r="201" spans="3:5" x14ac:dyDescent="0.35">
      <c r="C201" s="4"/>
      <c r="D201" s="3"/>
      <c r="E201" s="3"/>
    </row>
    <row r="202" spans="3:5" x14ac:dyDescent="0.35">
      <c r="C202" s="4"/>
      <c r="D202" s="3"/>
      <c r="E202" s="3"/>
    </row>
    <row r="203" spans="3:5" x14ac:dyDescent="0.35">
      <c r="C203" s="4"/>
      <c r="D203" s="3"/>
      <c r="E203" s="3"/>
    </row>
    <row r="204" spans="3:5" x14ac:dyDescent="0.35">
      <c r="C204" s="4"/>
      <c r="D204" s="3"/>
      <c r="E204" s="3"/>
    </row>
    <row r="205" spans="3:5" x14ac:dyDescent="0.35">
      <c r="C205" s="4"/>
      <c r="D205" s="3"/>
      <c r="E205" s="3"/>
    </row>
    <row r="206" spans="3:5" x14ac:dyDescent="0.35">
      <c r="C206" s="4"/>
      <c r="D206" s="3"/>
      <c r="E206" s="3"/>
    </row>
    <row r="207" spans="3:5" x14ac:dyDescent="0.35">
      <c r="C207" s="4"/>
      <c r="D207" s="3"/>
      <c r="E207" s="3"/>
    </row>
    <row r="208" spans="3:5" x14ac:dyDescent="0.35">
      <c r="C208" s="4"/>
      <c r="D208" s="3"/>
      <c r="E208" s="3"/>
    </row>
    <row r="209" spans="3:5" x14ac:dyDescent="0.35">
      <c r="C209" s="4"/>
      <c r="D209" s="3"/>
      <c r="E209" s="3"/>
    </row>
    <row r="210" spans="3:5" x14ac:dyDescent="0.35">
      <c r="C210" s="4"/>
      <c r="D210" s="3"/>
      <c r="E210" s="3"/>
    </row>
    <row r="211" spans="3:5" x14ac:dyDescent="0.35">
      <c r="C211" s="4"/>
      <c r="D211" s="3"/>
      <c r="E211" s="3"/>
    </row>
    <row r="212" spans="3:5" x14ac:dyDescent="0.35">
      <c r="C212" s="4"/>
      <c r="D212" s="3"/>
      <c r="E212" s="3"/>
    </row>
    <row r="213" spans="3:5" x14ac:dyDescent="0.35">
      <c r="C213" s="4"/>
      <c r="D213" s="3"/>
      <c r="E213" s="3"/>
    </row>
    <row r="214" spans="3:5" x14ac:dyDescent="0.35">
      <c r="C214" s="4"/>
      <c r="D214" s="3"/>
      <c r="E214" s="3"/>
    </row>
    <row r="215" spans="3:5" x14ac:dyDescent="0.35">
      <c r="C215" s="4"/>
      <c r="D215" s="3"/>
      <c r="E215" s="3"/>
    </row>
    <row r="216" spans="3:5" x14ac:dyDescent="0.35">
      <c r="C216" s="4"/>
      <c r="D216" s="3"/>
      <c r="E216" s="3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CF424-8D36-4816-9936-0F9EAC7789CD}">
  <dimension ref="A1:E5"/>
  <sheetViews>
    <sheetView workbookViewId="0">
      <selection activeCell="C22" sqref="C22"/>
    </sheetView>
  </sheetViews>
  <sheetFormatPr defaultRowHeight="14.5" x14ac:dyDescent="0.35"/>
  <cols>
    <col min="2" max="2" width="11.54296875" customWidth="1"/>
    <col min="3" max="3" width="10.7265625" customWidth="1"/>
    <col min="5" max="5" width="14.54296875" customWidth="1"/>
  </cols>
  <sheetData>
    <row r="1" spans="1:5" x14ac:dyDescent="0.35">
      <c r="A1" t="s">
        <v>12</v>
      </c>
      <c r="B1" t="s">
        <v>18</v>
      </c>
      <c r="C1" t="s">
        <v>17</v>
      </c>
      <c r="D1" t="s">
        <v>21</v>
      </c>
      <c r="E1" t="s">
        <v>19</v>
      </c>
    </row>
    <row r="2" spans="1:5" x14ac:dyDescent="0.35">
      <c r="A2" t="s">
        <v>13</v>
      </c>
      <c r="B2">
        <v>0</v>
      </c>
      <c r="C2">
        <v>15</v>
      </c>
      <c r="D2">
        <v>60.21</v>
      </c>
      <c r="E2">
        <f>D2/SUM(D2:D5)</f>
        <v>0.21845294245700603</v>
      </c>
    </row>
    <row r="3" spans="1:5" x14ac:dyDescent="0.35">
      <c r="A3" t="s">
        <v>14</v>
      </c>
      <c r="B3">
        <v>16</v>
      </c>
      <c r="C3">
        <v>30</v>
      </c>
      <c r="D3">
        <v>38.520000000000003</v>
      </c>
      <c r="E3">
        <f>D3/SUM(D2:D5)</f>
        <v>0.13975763732675422</v>
      </c>
    </row>
    <row r="4" spans="1:5" x14ac:dyDescent="0.35">
      <c r="A4" t="s">
        <v>15</v>
      </c>
      <c r="B4">
        <v>31</v>
      </c>
      <c r="C4">
        <v>50</v>
      </c>
      <c r="D4">
        <v>52.7</v>
      </c>
      <c r="E4">
        <f>D4/SUM(D2:D5)</f>
        <v>0.19120528263551267</v>
      </c>
    </row>
    <row r="5" spans="1:5" x14ac:dyDescent="0.35">
      <c r="A5" t="s">
        <v>20</v>
      </c>
      <c r="B5">
        <v>51</v>
      </c>
      <c r="C5">
        <v>100</v>
      </c>
      <c r="D5">
        <v>124.19</v>
      </c>
      <c r="E5">
        <f>D5/SUM(D2:D5)</f>
        <v>0.45058413758072707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catchdata</vt:lpstr>
      <vt:lpstr>station_info</vt:lpstr>
      <vt:lpstr>stratum_info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francesco masnadi</cp:lastModifiedBy>
  <dcterms:created xsi:type="dcterms:W3CDTF">2025-01-14T10:59:29Z</dcterms:created>
  <dcterms:modified xsi:type="dcterms:W3CDTF">2026-09-15T13:03:19Z</dcterms:modified>
</cp:coreProperties>
</file>