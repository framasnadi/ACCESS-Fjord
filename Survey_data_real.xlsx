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 (1)\Other\ShinyAPPnorway\ACCESS-FjordAPP\"/>
    </mc:Choice>
  </mc:AlternateContent>
  <xr:revisionPtr revIDLastSave="0" documentId="13_ncr:1_{7CDDF252-07A5-4B16-BEE9-994ED5C6BE9A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catchdata" sheetId="1" r:id="rId1"/>
    <sheet name="station_info" sheetId="3" r:id="rId2"/>
    <sheet name="stratum_info" sheetId="2" r:id="rId3"/>
  </sheets>
  <definedNames>
    <definedName name="_xlnm._FilterDatabase" localSheetId="0" hidden="1">catchdata!$A$1:$H$997</definedName>
    <definedName name="_xlnm._FilterDatabase" localSheetId="1" hidden="1">station_info!$A$1:$S$216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</calcChain>
</file>

<file path=xl/sharedStrings.xml><?xml version="1.0" encoding="utf-8"?>
<sst xmlns="http://schemas.openxmlformats.org/spreadsheetml/2006/main" count="519" uniqueCount="97">
  <si>
    <t>Date</t>
  </si>
  <si>
    <t>Fisherman</t>
  </si>
  <si>
    <t>FishingGear</t>
  </si>
  <si>
    <t>Length</t>
  </si>
  <si>
    <t>Weight</t>
  </si>
  <si>
    <t>Species</t>
  </si>
  <si>
    <t>Cod</t>
  </si>
  <si>
    <t>A</t>
  </si>
  <si>
    <t>Y</t>
  </si>
  <si>
    <t>CandR</t>
  </si>
  <si>
    <t>Start</t>
  </si>
  <si>
    <t>End</t>
  </si>
  <si>
    <t>Stratum</t>
  </si>
  <si>
    <t>S1</t>
  </si>
  <si>
    <t>S2</t>
  </si>
  <si>
    <t>S3</t>
  </si>
  <si>
    <t>Area</t>
  </si>
  <si>
    <t>MaxDepth</t>
  </si>
  <si>
    <t>MinDepth</t>
  </si>
  <si>
    <t>AreaWeight</t>
  </si>
  <si>
    <t>S4</t>
  </si>
  <si>
    <t>Areakm</t>
  </si>
  <si>
    <t>DepthStart</t>
  </si>
  <si>
    <t>DepthEnd</t>
  </si>
  <si>
    <t>ExtraInfo</t>
  </si>
  <si>
    <t>Temp</t>
  </si>
  <si>
    <t>Salinity</t>
  </si>
  <si>
    <t>Tidal_Height</t>
  </si>
  <si>
    <t>Tidal_Phase</t>
  </si>
  <si>
    <t>Sea</t>
  </si>
  <si>
    <t>Weather</t>
  </si>
  <si>
    <t>StationID</t>
  </si>
  <si>
    <t>LATstart</t>
  </si>
  <si>
    <t>LONend</t>
  </si>
  <si>
    <t>LONstart</t>
  </si>
  <si>
    <t>LATend</t>
  </si>
  <si>
    <t>R</t>
  </si>
  <si>
    <t>H</t>
  </si>
  <si>
    <t>Calm</t>
  </si>
  <si>
    <t>Foggy</t>
  </si>
  <si>
    <t>jig &lt; 100</t>
  </si>
  <si>
    <t>jig &gt; 100</t>
  </si>
  <si>
    <t>Skallen</t>
  </si>
  <si>
    <t>Lappvika</t>
  </si>
  <si>
    <t>Korsvika</t>
  </si>
  <si>
    <t>strong current</t>
  </si>
  <si>
    <t>gentle breeze</t>
  </si>
  <si>
    <t>very little drift</t>
  </si>
  <si>
    <t>Sun</t>
  </si>
  <si>
    <t>Slight</t>
  </si>
  <si>
    <t>Num_fisher</t>
  </si>
  <si>
    <t>NO_FISH</t>
  </si>
  <si>
    <t>Ling</t>
  </si>
  <si>
    <t>B</t>
  </si>
  <si>
    <t>Kalovika</t>
  </si>
  <si>
    <t>F</t>
  </si>
  <si>
    <t>Cloud</t>
  </si>
  <si>
    <t>Bonnåjøen Deep</t>
  </si>
  <si>
    <t>Daudmannvika</t>
  </si>
  <si>
    <t>Inner Kalvika</t>
  </si>
  <si>
    <t>bait</t>
  </si>
  <si>
    <t>Brosme</t>
  </si>
  <si>
    <t>multiple cod following to surface</t>
  </si>
  <si>
    <t>Munida</t>
  </si>
  <si>
    <t>Stomach</t>
  </si>
  <si>
    <t>krill</t>
  </si>
  <si>
    <t>empty</t>
  </si>
  <si>
    <t>eremit crabs</t>
  </si>
  <si>
    <t>Halibut</t>
  </si>
  <si>
    <t>jig &gt; 300</t>
  </si>
  <si>
    <t>parasites</t>
  </si>
  <si>
    <t>peeteer_27</t>
  </si>
  <si>
    <t/>
  </si>
  <si>
    <t>Jovikskallen</t>
  </si>
  <si>
    <t>Lukas</t>
  </si>
  <si>
    <t>D</t>
  </si>
  <si>
    <t>Vellamsvika</t>
  </si>
  <si>
    <t>Einarvika</t>
  </si>
  <si>
    <t>Flatstein</t>
  </si>
  <si>
    <t>Pollack</t>
  </si>
  <si>
    <t>KEJ</t>
  </si>
  <si>
    <t>nicoletta8938</t>
  </si>
  <si>
    <t>L</t>
  </si>
  <si>
    <t>Saithe</t>
  </si>
  <si>
    <t>gioronta</t>
  </si>
  <si>
    <t>astridmedd</t>
  </si>
  <si>
    <t>terramare_fjordgaard</t>
  </si>
  <si>
    <t>andreamasnadi</t>
  </si>
  <si>
    <t>topwater</t>
  </si>
  <si>
    <t>Prestmåsøya est</t>
  </si>
  <si>
    <t>Rørstad</t>
  </si>
  <si>
    <t>Elvkroken</t>
  </si>
  <si>
    <t>almost halibut (2)</t>
  </si>
  <si>
    <t>alti_liveli</t>
  </si>
  <si>
    <t>fishing_biodiversity</t>
  </si>
  <si>
    <t>enrico.e.armelloni</t>
  </si>
  <si>
    <t>bait fish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</si>
</sst>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 hh:mm:ss\ \U\T\C"/>
    <numFmt numFmtId="166" formatCode="#,##0.0000"/>
    <numFmt numFmtId="167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opLeftCell="A58" workbookViewId="0">
      <selection activeCell="J74" sqref="J74"/>
    </sheetView>
  </sheetViews>
  <sheetFormatPr defaultRowHeight="14.5" x14ac:dyDescent="0.35"/>
  <cols>
    <col min="1" max="1" width="25.7265625" style="2" customWidth="1"/>
    <col min="2" max="2" width="15.81640625" customWidth="1"/>
    <col min="3" max="3" width="21" customWidth="1"/>
    <col min="4" max="4" width="13.7265625" customWidth="1"/>
    <col min="5" max="5" width="19.1796875" customWidth="1"/>
  </cols>
  <sheetData>
    <row r="1" spans="1:9" s="1" customFormat="1" x14ac:dyDescent="0.35">
      <c r="A1" s="1" t="s">
        <v>0</v>
      </c>
      <c r="B1" s="1" t="s">
        <v>31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9</v>
      </c>
      <c r="I1" s="1" t="s">
        <v>64</v>
      </c>
    </row>
    <row r="2" spans="1:9" x14ac:dyDescent="0.35">
      <c r="A2" s="2">
        <v>45997</v>
      </c>
      <c r="B2" t="s">
        <v>42</v>
      </c>
      <c r="C2" t="s">
        <v>71</v>
      </c>
      <c r="D2" t="s">
        <v>41</v>
      </c>
      <c r="E2" t="s">
        <v>68</v>
      </c>
      <c r="F2">
        <v>90</v>
      </c>
      <c r="G2">
        <v>8000</v>
      </c>
    </row>
    <row r="3" spans="1:9" x14ac:dyDescent="0.35">
      <c r="A3" s="2">
        <v>45997</v>
      </c>
      <c r="B3" t="s">
        <v>42</v>
      </c>
      <c r="C3" t="s">
        <v>71</v>
      </c>
      <c r="D3" t="s">
        <v>40</v>
      </c>
      <c r="E3" t="s">
        <v>83</v>
      </c>
      <c r="F3">
        <v>52</v>
      </c>
      <c r="G3">
        <v>1046</v>
      </c>
      <c r="H3" s="8" t="s">
        <v>72</v>
      </c>
    </row>
    <row r="4" spans="1:9" x14ac:dyDescent="0.35">
      <c r="A4" s="2">
        <v>45997</v>
      </c>
      <c r="B4" t="s">
        <v>42</v>
      </c>
      <c r="C4" t="s">
        <v>84</v>
      </c>
      <c r="D4" t="s">
        <v>40</v>
      </c>
      <c r="E4" t="s">
        <v>83</v>
      </c>
      <c r="F4">
        <v>48</v>
      </c>
      <c r="G4">
        <v>880</v>
      </c>
      <c r="H4" t="s">
        <v>8</v>
      </c>
    </row>
    <row r="5" spans="1:9" x14ac:dyDescent="0.35">
      <c r="A5" s="2">
        <v>46062</v>
      </c>
      <c r="B5" t="s">
        <v>42</v>
      </c>
      <c r="D5" t="s">
        <v>41</v>
      </c>
      <c r="E5" t="s">
        <v>51</v>
      </c>
    </row>
    <row r="6" spans="1:9" x14ac:dyDescent="0.35">
      <c r="A6" s="2">
        <v>46062</v>
      </c>
      <c r="B6" t="s">
        <v>43</v>
      </c>
      <c r="C6" t="s">
        <v>86</v>
      </c>
      <c r="D6" t="s">
        <v>41</v>
      </c>
      <c r="E6" t="s">
        <v>6</v>
      </c>
      <c r="F6">
        <v>60.5</v>
      </c>
      <c r="G6">
        <v>2090</v>
      </c>
    </row>
    <row r="7" spans="1:9" x14ac:dyDescent="0.35">
      <c r="A7" s="2">
        <v>46062</v>
      </c>
      <c r="B7" t="s">
        <v>43</v>
      </c>
      <c r="C7" t="s">
        <v>86</v>
      </c>
      <c r="D7" t="s">
        <v>41</v>
      </c>
      <c r="E7" t="s">
        <v>6</v>
      </c>
      <c r="F7">
        <v>61</v>
      </c>
      <c r="G7">
        <v>2070</v>
      </c>
    </row>
    <row r="8" spans="1:9" x14ac:dyDescent="0.35">
      <c r="A8" s="2">
        <v>46062</v>
      </c>
      <c r="B8" t="s">
        <v>44</v>
      </c>
      <c r="C8" t="s">
        <v>85</v>
      </c>
      <c r="D8" t="s">
        <v>40</v>
      </c>
      <c r="E8" t="s">
        <v>83</v>
      </c>
      <c r="F8">
        <v>30</v>
      </c>
      <c r="G8">
        <v>200</v>
      </c>
      <c r="H8" t="s">
        <v>8</v>
      </c>
    </row>
    <row r="9" spans="1:9" x14ac:dyDescent="0.35">
      <c r="A9" s="2">
        <v>46062</v>
      </c>
      <c r="B9" t="s">
        <v>44</v>
      </c>
      <c r="C9" t="s">
        <v>85</v>
      </c>
      <c r="D9" t="s">
        <v>40</v>
      </c>
      <c r="E9" t="s">
        <v>52</v>
      </c>
      <c r="F9">
        <v>44.5</v>
      </c>
      <c r="G9">
        <v>500</v>
      </c>
      <c r="H9" t="s">
        <v>8</v>
      </c>
    </row>
    <row r="10" spans="1:9" x14ac:dyDescent="0.35">
      <c r="A10" s="2">
        <v>46062</v>
      </c>
      <c r="B10" t="s">
        <v>44</v>
      </c>
      <c r="C10" t="s">
        <v>85</v>
      </c>
      <c r="D10" t="s">
        <v>40</v>
      </c>
      <c r="E10" t="s">
        <v>83</v>
      </c>
      <c r="F10">
        <v>46</v>
      </c>
      <c r="G10">
        <v>660</v>
      </c>
    </row>
    <row r="11" spans="1:9" x14ac:dyDescent="0.35">
      <c r="A11" s="2">
        <v>46062</v>
      </c>
      <c r="B11" t="s">
        <v>44</v>
      </c>
      <c r="C11" t="s">
        <v>85</v>
      </c>
      <c r="D11" t="s">
        <v>40</v>
      </c>
      <c r="E11" t="s">
        <v>83</v>
      </c>
      <c r="F11">
        <v>42</v>
      </c>
      <c r="G11">
        <v>580</v>
      </c>
      <c r="H11" t="s">
        <v>8</v>
      </c>
    </row>
    <row r="12" spans="1:9" x14ac:dyDescent="0.35">
      <c r="A12" s="2">
        <v>46074</v>
      </c>
      <c r="B12" t="s">
        <v>42</v>
      </c>
      <c r="C12" t="s">
        <v>86</v>
      </c>
      <c r="D12" t="s">
        <v>41</v>
      </c>
      <c r="E12" t="s">
        <v>6</v>
      </c>
      <c r="F12">
        <v>105</v>
      </c>
      <c r="G12">
        <v>11120</v>
      </c>
    </row>
    <row r="13" spans="1:9" x14ac:dyDescent="0.35">
      <c r="A13" s="2">
        <v>46074</v>
      </c>
      <c r="B13" t="s">
        <v>43</v>
      </c>
      <c r="C13" t="s">
        <v>86</v>
      </c>
      <c r="D13" t="s">
        <v>41</v>
      </c>
      <c r="E13" t="s">
        <v>6</v>
      </c>
      <c r="F13">
        <v>66</v>
      </c>
      <c r="G13">
        <v>3200</v>
      </c>
      <c r="H13" t="s">
        <v>8</v>
      </c>
    </row>
    <row r="14" spans="1:9" x14ac:dyDescent="0.35">
      <c r="A14" s="2">
        <v>46074</v>
      </c>
      <c r="B14" t="s">
        <v>43</v>
      </c>
      <c r="C14" t="s">
        <v>86</v>
      </c>
      <c r="D14" t="s">
        <v>40</v>
      </c>
      <c r="E14" t="s">
        <v>6</v>
      </c>
      <c r="F14">
        <v>63</v>
      </c>
      <c r="G14">
        <v>2300</v>
      </c>
      <c r="H14" t="s">
        <v>8</v>
      </c>
    </row>
    <row r="15" spans="1:9" x14ac:dyDescent="0.35">
      <c r="A15" s="2">
        <v>46074</v>
      </c>
      <c r="B15" t="s">
        <v>42</v>
      </c>
      <c r="C15" t="s">
        <v>86</v>
      </c>
      <c r="D15" t="s">
        <v>40</v>
      </c>
      <c r="E15" t="s">
        <v>83</v>
      </c>
      <c r="F15">
        <v>51</v>
      </c>
      <c r="G15">
        <v>1000</v>
      </c>
      <c r="H15" t="s">
        <v>8</v>
      </c>
    </row>
    <row r="16" spans="1:9" x14ac:dyDescent="0.35">
      <c r="A16" s="2">
        <v>46082</v>
      </c>
      <c r="B16" t="s">
        <v>54</v>
      </c>
      <c r="C16" t="s">
        <v>86</v>
      </c>
      <c r="D16" t="s">
        <v>60</v>
      </c>
      <c r="E16" t="s">
        <v>83</v>
      </c>
      <c r="F16">
        <v>54.4</v>
      </c>
      <c r="G16">
        <v>1140</v>
      </c>
    </row>
    <row r="17" spans="1:9" x14ac:dyDescent="0.35">
      <c r="A17" s="2">
        <v>46082</v>
      </c>
      <c r="B17" t="s">
        <v>54</v>
      </c>
      <c r="C17" t="s">
        <v>86</v>
      </c>
      <c r="D17" t="s">
        <v>40</v>
      </c>
      <c r="E17" t="s">
        <v>6</v>
      </c>
      <c r="F17">
        <v>54</v>
      </c>
      <c r="G17">
        <v>1300</v>
      </c>
      <c r="H17" t="s">
        <v>8</v>
      </c>
    </row>
    <row r="18" spans="1:9" x14ac:dyDescent="0.35">
      <c r="A18" s="2">
        <v>46082</v>
      </c>
      <c r="B18" t="s">
        <v>54</v>
      </c>
      <c r="C18" t="s">
        <v>86</v>
      </c>
      <c r="D18" t="s">
        <v>41</v>
      </c>
      <c r="E18" t="s">
        <v>6</v>
      </c>
      <c r="F18">
        <v>74</v>
      </c>
      <c r="G18">
        <v>5000</v>
      </c>
      <c r="H18" t="s">
        <v>8</v>
      </c>
    </row>
    <row r="19" spans="1:9" x14ac:dyDescent="0.35">
      <c r="A19" s="2">
        <v>46082</v>
      </c>
      <c r="B19" t="s">
        <v>54</v>
      </c>
      <c r="C19" t="s">
        <v>85</v>
      </c>
      <c r="D19" t="s">
        <v>41</v>
      </c>
      <c r="E19" t="s">
        <v>6</v>
      </c>
      <c r="F19">
        <v>70</v>
      </c>
      <c r="G19">
        <v>3300</v>
      </c>
      <c r="I19" t="s">
        <v>66</v>
      </c>
    </row>
    <row r="20" spans="1:9" x14ac:dyDescent="0.35">
      <c r="A20" s="2">
        <v>46082</v>
      </c>
      <c r="B20" t="s">
        <v>54</v>
      </c>
      <c r="C20" t="s">
        <v>85</v>
      </c>
      <c r="D20" t="s">
        <v>41</v>
      </c>
      <c r="E20" t="s">
        <v>6</v>
      </c>
      <c r="F20">
        <v>68</v>
      </c>
      <c r="G20">
        <v>3100</v>
      </c>
      <c r="H20" t="s">
        <v>8</v>
      </c>
    </row>
    <row r="21" spans="1:9" x14ac:dyDescent="0.35">
      <c r="A21" s="2">
        <v>46082</v>
      </c>
      <c r="B21" t="s">
        <v>54</v>
      </c>
      <c r="C21" t="s">
        <v>85</v>
      </c>
      <c r="D21" t="s">
        <v>41</v>
      </c>
      <c r="E21" t="s">
        <v>6</v>
      </c>
      <c r="F21">
        <v>62</v>
      </c>
      <c r="G21">
        <v>2200</v>
      </c>
      <c r="I21" t="s">
        <v>67</v>
      </c>
    </row>
    <row r="22" spans="1:9" x14ac:dyDescent="0.35">
      <c r="A22" s="2">
        <v>46082</v>
      </c>
      <c r="B22" t="s">
        <v>57</v>
      </c>
      <c r="C22" t="s">
        <v>86</v>
      </c>
      <c r="D22" t="s">
        <v>41</v>
      </c>
      <c r="E22" t="s">
        <v>83</v>
      </c>
      <c r="F22">
        <v>51</v>
      </c>
      <c r="G22">
        <v>1250</v>
      </c>
      <c r="I22" t="s">
        <v>65</v>
      </c>
    </row>
    <row r="23" spans="1:9" x14ac:dyDescent="0.35">
      <c r="A23" s="2">
        <v>46082</v>
      </c>
      <c r="B23" t="s">
        <v>57</v>
      </c>
      <c r="C23" t="s">
        <v>86</v>
      </c>
      <c r="D23" t="s">
        <v>41</v>
      </c>
      <c r="E23" t="s">
        <v>83</v>
      </c>
      <c r="F23">
        <v>48</v>
      </c>
      <c r="G23">
        <v>990</v>
      </c>
    </row>
    <row r="24" spans="1:9" x14ac:dyDescent="0.35">
      <c r="A24" s="2">
        <v>46082</v>
      </c>
      <c r="B24" t="s">
        <v>58</v>
      </c>
      <c r="C24" t="s">
        <v>86</v>
      </c>
      <c r="D24" t="s">
        <v>41</v>
      </c>
      <c r="E24" t="s">
        <v>61</v>
      </c>
      <c r="F24">
        <v>52</v>
      </c>
      <c r="G24">
        <v>1430</v>
      </c>
      <c r="I24" t="s">
        <v>63</v>
      </c>
    </row>
    <row r="25" spans="1:9" x14ac:dyDescent="0.35">
      <c r="A25" s="2">
        <v>46082</v>
      </c>
      <c r="B25" t="s">
        <v>58</v>
      </c>
      <c r="C25" t="s">
        <v>86</v>
      </c>
      <c r="D25" t="s">
        <v>41</v>
      </c>
      <c r="E25" t="s">
        <v>6</v>
      </c>
      <c r="F25">
        <v>63</v>
      </c>
      <c r="G25">
        <v>2600</v>
      </c>
      <c r="H25" t="s">
        <v>8</v>
      </c>
    </row>
    <row r="26" spans="1:9" x14ac:dyDescent="0.35">
      <c r="A26" s="2">
        <v>46082</v>
      </c>
      <c r="B26" t="s">
        <v>58</v>
      </c>
      <c r="C26" t="s">
        <v>85</v>
      </c>
      <c r="D26" t="s">
        <v>41</v>
      </c>
      <c r="E26" t="s">
        <v>61</v>
      </c>
      <c r="F26">
        <v>48</v>
      </c>
      <c r="G26">
        <v>1010</v>
      </c>
    </row>
    <row r="27" spans="1:9" x14ac:dyDescent="0.35">
      <c r="A27" s="2">
        <v>46082</v>
      </c>
      <c r="B27" t="s">
        <v>59</v>
      </c>
      <c r="D27" t="s">
        <v>41</v>
      </c>
      <c r="E27" t="s">
        <v>51</v>
      </c>
    </row>
    <row r="28" spans="1:9" x14ac:dyDescent="0.35">
      <c r="A28" s="2">
        <v>46095</v>
      </c>
      <c r="B28" t="s">
        <v>54</v>
      </c>
      <c r="C28" t="s">
        <v>86</v>
      </c>
      <c r="D28" t="s">
        <v>41</v>
      </c>
      <c r="E28" t="s">
        <v>83</v>
      </c>
      <c r="F28">
        <v>81</v>
      </c>
      <c r="G28">
        <v>3470</v>
      </c>
    </row>
    <row r="29" spans="1:9" x14ac:dyDescent="0.35">
      <c r="A29" s="2">
        <v>46095</v>
      </c>
      <c r="B29" t="s">
        <v>54</v>
      </c>
      <c r="C29" t="s">
        <v>80</v>
      </c>
      <c r="D29" t="s">
        <v>41</v>
      </c>
      <c r="E29" t="s">
        <v>83</v>
      </c>
      <c r="F29">
        <v>77</v>
      </c>
      <c r="G29">
        <v>3010</v>
      </c>
      <c r="H29" t="s">
        <v>8</v>
      </c>
    </row>
    <row r="30" spans="1:9" x14ac:dyDescent="0.35">
      <c r="A30" s="2">
        <v>46095</v>
      </c>
      <c r="B30" t="s">
        <v>54</v>
      </c>
      <c r="C30" t="s">
        <v>80</v>
      </c>
      <c r="D30" t="s">
        <v>41</v>
      </c>
      <c r="E30" t="s">
        <v>83</v>
      </c>
      <c r="F30">
        <v>63</v>
      </c>
      <c r="G30">
        <v>1600</v>
      </c>
    </row>
    <row r="31" spans="1:9" x14ac:dyDescent="0.35">
      <c r="A31" s="2">
        <v>46095</v>
      </c>
      <c r="B31" t="s">
        <v>54</v>
      </c>
      <c r="C31" t="s">
        <v>86</v>
      </c>
      <c r="D31" t="s">
        <v>69</v>
      </c>
      <c r="E31" t="s">
        <v>68</v>
      </c>
      <c r="F31">
        <v>122</v>
      </c>
      <c r="G31">
        <v>17155</v>
      </c>
      <c r="H31" t="s">
        <v>8</v>
      </c>
    </row>
    <row r="32" spans="1:9" x14ac:dyDescent="0.35">
      <c r="A32" s="2">
        <v>46095</v>
      </c>
      <c r="B32" t="s">
        <v>54</v>
      </c>
      <c r="C32" t="s">
        <v>80</v>
      </c>
      <c r="D32" t="s">
        <v>41</v>
      </c>
      <c r="E32" t="s">
        <v>6</v>
      </c>
      <c r="F32">
        <v>73</v>
      </c>
      <c r="G32">
        <v>3695</v>
      </c>
      <c r="I32" t="s">
        <v>70</v>
      </c>
    </row>
    <row r="33" spans="1:7" x14ac:dyDescent="0.35">
      <c r="A33" s="2">
        <v>46095</v>
      </c>
      <c r="B33" t="s">
        <v>54</v>
      </c>
      <c r="C33" t="s">
        <v>86</v>
      </c>
      <c r="D33" t="s">
        <v>41</v>
      </c>
      <c r="E33" t="s">
        <v>6</v>
      </c>
      <c r="F33">
        <v>80</v>
      </c>
      <c r="G33">
        <v>4200</v>
      </c>
    </row>
    <row r="34" spans="1:7" x14ac:dyDescent="0.35">
      <c r="A34" s="2">
        <v>46095</v>
      </c>
      <c r="B34" t="s">
        <v>54</v>
      </c>
      <c r="C34" t="s">
        <v>86</v>
      </c>
      <c r="D34" t="s">
        <v>41</v>
      </c>
      <c r="E34" t="s">
        <v>6</v>
      </c>
      <c r="F34">
        <v>61</v>
      </c>
      <c r="G34">
        <v>2165</v>
      </c>
    </row>
    <row r="35" spans="1:7" x14ac:dyDescent="0.35">
      <c r="A35" s="2">
        <v>46116</v>
      </c>
      <c r="B35" t="s">
        <v>73</v>
      </c>
      <c r="C35" t="s">
        <v>74</v>
      </c>
      <c r="D35" t="s">
        <v>41</v>
      </c>
      <c r="E35" t="s">
        <v>83</v>
      </c>
      <c r="F35">
        <v>43</v>
      </c>
    </row>
    <row r="36" spans="1:7" x14ac:dyDescent="0.35">
      <c r="A36" s="2">
        <v>46116</v>
      </c>
      <c r="B36" t="s">
        <v>73</v>
      </c>
      <c r="C36" t="s">
        <v>74</v>
      </c>
      <c r="D36" t="s">
        <v>41</v>
      </c>
      <c r="E36" t="s">
        <v>83</v>
      </c>
      <c r="F36">
        <v>41.5</v>
      </c>
    </row>
    <row r="37" spans="1:7" x14ac:dyDescent="0.35">
      <c r="A37" s="2">
        <v>46116</v>
      </c>
      <c r="B37" t="s">
        <v>73</v>
      </c>
      <c r="C37" t="s">
        <v>74</v>
      </c>
      <c r="D37" t="s">
        <v>41</v>
      </c>
      <c r="E37" t="s">
        <v>83</v>
      </c>
      <c r="F37">
        <v>44</v>
      </c>
    </row>
    <row r="38" spans="1:7" x14ac:dyDescent="0.35">
      <c r="A38" s="2">
        <v>46116</v>
      </c>
      <c r="B38" t="s">
        <v>76</v>
      </c>
      <c r="C38" t="s">
        <v>74</v>
      </c>
      <c r="D38" t="s">
        <v>41</v>
      </c>
      <c r="E38" t="s">
        <v>6</v>
      </c>
      <c r="F38">
        <v>70</v>
      </c>
      <c r="G38">
        <v>2625</v>
      </c>
    </row>
    <row r="39" spans="1:7" x14ac:dyDescent="0.35">
      <c r="A39" s="2">
        <v>46116</v>
      </c>
      <c r="B39" t="s">
        <v>76</v>
      </c>
      <c r="C39" t="s">
        <v>85</v>
      </c>
      <c r="D39" t="s">
        <v>41</v>
      </c>
      <c r="E39" t="s">
        <v>6</v>
      </c>
      <c r="F39">
        <v>69</v>
      </c>
      <c r="G39">
        <v>3135</v>
      </c>
    </row>
    <row r="40" spans="1:7" x14ac:dyDescent="0.35">
      <c r="A40" s="2">
        <v>46116</v>
      </c>
      <c r="B40" t="s">
        <v>76</v>
      </c>
      <c r="C40" t="s">
        <v>86</v>
      </c>
      <c r="D40" t="s">
        <v>41</v>
      </c>
      <c r="E40" t="s">
        <v>6</v>
      </c>
      <c r="F40">
        <v>70</v>
      </c>
      <c r="G40">
        <v>1750</v>
      </c>
    </row>
    <row r="41" spans="1:7" x14ac:dyDescent="0.35">
      <c r="A41" s="2">
        <v>46116</v>
      </c>
      <c r="B41" t="s">
        <v>76</v>
      </c>
      <c r="C41" t="s">
        <v>74</v>
      </c>
      <c r="D41" t="s">
        <v>41</v>
      </c>
      <c r="E41" t="s">
        <v>6</v>
      </c>
      <c r="F41">
        <v>55</v>
      </c>
      <c r="G41">
        <v>1565</v>
      </c>
    </row>
    <row r="42" spans="1:7" x14ac:dyDescent="0.35">
      <c r="A42" s="2">
        <v>46116</v>
      </c>
      <c r="B42" t="s">
        <v>76</v>
      </c>
      <c r="C42" t="s">
        <v>74</v>
      </c>
      <c r="D42" t="s">
        <v>41</v>
      </c>
      <c r="E42" t="s">
        <v>6</v>
      </c>
      <c r="F42">
        <v>60</v>
      </c>
      <c r="G42">
        <v>1985</v>
      </c>
    </row>
    <row r="43" spans="1:7" x14ac:dyDescent="0.35">
      <c r="A43" s="2">
        <v>46116</v>
      </c>
      <c r="B43" t="s">
        <v>77</v>
      </c>
      <c r="C43" t="s">
        <v>74</v>
      </c>
      <c r="D43" t="s">
        <v>41</v>
      </c>
      <c r="E43" t="s">
        <v>83</v>
      </c>
      <c r="F43">
        <v>47</v>
      </c>
      <c r="G43">
        <v>740</v>
      </c>
    </row>
    <row r="44" spans="1:7" x14ac:dyDescent="0.35">
      <c r="A44" s="2">
        <v>46116</v>
      </c>
      <c r="B44" t="s">
        <v>77</v>
      </c>
      <c r="C44" t="s">
        <v>74</v>
      </c>
      <c r="D44" t="s">
        <v>41</v>
      </c>
      <c r="E44" t="s">
        <v>83</v>
      </c>
      <c r="F44">
        <v>51</v>
      </c>
      <c r="G44">
        <v>765</v>
      </c>
    </row>
    <row r="45" spans="1:7" x14ac:dyDescent="0.35">
      <c r="A45" s="2">
        <v>46116</v>
      </c>
      <c r="B45" t="s">
        <v>77</v>
      </c>
      <c r="C45" t="s">
        <v>74</v>
      </c>
      <c r="D45" t="s">
        <v>41</v>
      </c>
      <c r="E45" t="s">
        <v>83</v>
      </c>
      <c r="F45">
        <v>48</v>
      </c>
      <c r="G45">
        <v>810</v>
      </c>
    </row>
    <row r="46" spans="1:7" x14ac:dyDescent="0.35">
      <c r="A46" s="2">
        <v>46116</v>
      </c>
      <c r="B46" t="s">
        <v>77</v>
      </c>
      <c r="C46" t="s">
        <v>74</v>
      </c>
      <c r="D46" t="s">
        <v>41</v>
      </c>
      <c r="E46" t="s">
        <v>83</v>
      </c>
      <c r="F46">
        <v>58</v>
      </c>
      <c r="G46">
        <v>995</v>
      </c>
    </row>
    <row r="47" spans="1:7" x14ac:dyDescent="0.35">
      <c r="A47" s="2">
        <v>46116</v>
      </c>
      <c r="B47" t="s">
        <v>77</v>
      </c>
      <c r="C47" t="s">
        <v>74</v>
      </c>
      <c r="D47" t="s">
        <v>41</v>
      </c>
      <c r="E47" t="s">
        <v>83</v>
      </c>
      <c r="F47">
        <v>45</v>
      </c>
      <c r="G47">
        <v>580</v>
      </c>
    </row>
    <row r="48" spans="1:7" x14ac:dyDescent="0.35">
      <c r="A48" s="2">
        <v>46116</v>
      </c>
      <c r="B48" t="s">
        <v>77</v>
      </c>
      <c r="C48" t="s">
        <v>86</v>
      </c>
      <c r="D48" t="s">
        <v>41</v>
      </c>
      <c r="E48" t="s">
        <v>6</v>
      </c>
      <c r="F48">
        <v>46</v>
      </c>
      <c r="G48">
        <v>900</v>
      </c>
    </row>
    <row r="49" spans="1:8" x14ac:dyDescent="0.35">
      <c r="A49" s="2">
        <v>46116</v>
      </c>
      <c r="B49" t="s">
        <v>77</v>
      </c>
      <c r="C49" t="s">
        <v>74</v>
      </c>
      <c r="D49" t="s">
        <v>41</v>
      </c>
      <c r="E49" t="s">
        <v>6</v>
      </c>
      <c r="F49">
        <v>56</v>
      </c>
      <c r="G49">
        <v>1375</v>
      </c>
    </row>
    <row r="50" spans="1:8" x14ac:dyDescent="0.35">
      <c r="A50" s="2">
        <v>46116</v>
      </c>
      <c r="B50" t="s">
        <v>78</v>
      </c>
      <c r="C50" t="s">
        <v>74</v>
      </c>
      <c r="D50" t="s">
        <v>41</v>
      </c>
      <c r="E50" t="s">
        <v>83</v>
      </c>
      <c r="F50">
        <v>39</v>
      </c>
      <c r="G50">
        <v>145</v>
      </c>
    </row>
    <row r="51" spans="1:8" x14ac:dyDescent="0.35">
      <c r="A51" s="2">
        <v>46116</v>
      </c>
      <c r="B51" t="s">
        <v>78</v>
      </c>
      <c r="C51" t="s">
        <v>85</v>
      </c>
      <c r="D51" t="s">
        <v>41</v>
      </c>
      <c r="E51" t="s">
        <v>79</v>
      </c>
      <c r="F51">
        <v>67</v>
      </c>
      <c r="G51">
        <v>2570</v>
      </c>
    </row>
    <row r="52" spans="1:8" x14ac:dyDescent="0.35">
      <c r="A52" s="2">
        <v>46116</v>
      </c>
      <c r="B52" t="s">
        <v>78</v>
      </c>
      <c r="C52" t="s">
        <v>74</v>
      </c>
      <c r="D52" t="s">
        <v>41</v>
      </c>
      <c r="E52" t="s">
        <v>83</v>
      </c>
      <c r="F52">
        <v>41</v>
      </c>
      <c r="G52">
        <v>490</v>
      </c>
    </row>
    <row r="53" spans="1:8" x14ac:dyDescent="0.35">
      <c r="A53" s="2">
        <v>46116</v>
      </c>
      <c r="B53" t="s">
        <v>42</v>
      </c>
      <c r="C53" t="s">
        <v>86</v>
      </c>
      <c r="D53" t="s">
        <v>41</v>
      </c>
      <c r="E53" t="s">
        <v>6</v>
      </c>
      <c r="F53">
        <v>104</v>
      </c>
      <c r="G53">
        <v>11680</v>
      </c>
    </row>
    <row r="54" spans="1:8" x14ac:dyDescent="0.35">
      <c r="A54" s="2">
        <v>46142</v>
      </c>
      <c r="B54" t="s">
        <v>42</v>
      </c>
      <c r="C54" t="s">
        <v>86</v>
      </c>
      <c r="D54" t="s">
        <v>41</v>
      </c>
      <c r="E54" t="s">
        <v>52</v>
      </c>
      <c r="F54">
        <v>54</v>
      </c>
      <c r="G54">
        <v>760</v>
      </c>
    </row>
    <row r="55" spans="1:8" x14ac:dyDescent="0.35">
      <c r="A55" s="2">
        <v>46150</v>
      </c>
      <c r="B55" t="s">
        <v>44</v>
      </c>
      <c r="C55" t="s">
        <v>85</v>
      </c>
      <c r="D55" t="s">
        <v>41</v>
      </c>
      <c r="E55" t="s">
        <v>6</v>
      </c>
      <c r="F55">
        <v>63</v>
      </c>
      <c r="G55">
        <v>2300</v>
      </c>
    </row>
    <row r="56" spans="1:8" x14ac:dyDescent="0.35">
      <c r="A56" s="2">
        <v>46150</v>
      </c>
      <c r="B56" t="s">
        <v>44</v>
      </c>
      <c r="C56" t="s">
        <v>86</v>
      </c>
      <c r="D56" t="s">
        <v>40</v>
      </c>
      <c r="E56" t="s">
        <v>83</v>
      </c>
      <c r="F56">
        <v>32</v>
      </c>
      <c r="G56">
        <v>230</v>
      </c>
    </row>
    <row r="57" spans="1:8" x14ac:dyDescent="0.35">
      <c r="A57" s="2">
        <v>46150</v>
      </c>
      <c r="B57" t="s">
        <v>44</v>
      </c>
      <c r="C57" t="s">
        <v>86</v>
      </c>
      <c r="D57" t="s">
        <v>40</v>
      </c>
      <c r="E57" t="s">
        <v>83</v>
      </c>
      <c r="F57">
        <v>45</v>
      </c>
      <c r="G57">
        <v>660</v>
      </c>
      <c r="H57" t="s">
        <v>8</v>
      </c>
    </row>
    <row r="58" spans="1:8" x14ac:dyDescent="0.35">
      <c r="A58" s="2">
        <v>46158</v>
      </c>
      <c r="B58" t="s">
        <v>42</v>
      </c>
      <c r="D58" t="s">
        <v>41</v>
      </c>
      <c r="E58" t="s">
        <v>51</v>
      </c>
    </row>
    <row r="59" spans="1:8" x14ac:dyDescent="0.35">
      <c r="A59" s="2">
        <v>46159</v>
      </c>
      <c r="B59" t="s">
        <v>42</v>
      </c>
      <c r="C59" t="s">
        <v>86</v>
      </c>
      <c r="D59" t="s">
        <v>40</v>
      </c>
      <c r="E59" t="s">
        <v>83</v>
      </c>
      <c r="F59">
        <v>45</v>
      </c>
      <c r="G59">
        <v>800</v>
      </c>
    </row>
    <row r="60" spans="1:8" x14ac:dyDescent="0.35">
      <c r="A60" s="2">
        <v>46159</v>
      </c>
      <c r="B60" t="s">
        <v>42</v>
      </c>
      <c r="C60" t="s">
        <v>81</v>
      </c>
      <c r="D60" t="s">
        <v>40</v>
      </c>
      <c r="E60" t="s">
        <v>83</v>
      </c>
      <c r="F60">
        <v>48</v>
      </c>
      <c r="G60">
        <v>815</v>
      </c>
    </row>
    <row r="61" spans="1:8" x14ac:dyDescent="0.35">
      <c r="A61" s="2">
        <v>46162</v>
      </c>
      <c r="B61" t="s">
        <v>42</v>
      </c>
      <c r="C61" t="s">
        <v>86</v>
      </c>
      <c r="D61" t="s">
        <v>88</v>
      </c>
      <c r="E61" t="s">
        <v>83</v>
      </c>
      <c r="F61">
        <v>47</v>
      </c>
      <c r="G61">
        <v>840</v>
      </c>
    </row>
    <row r="62" spans="1:8" x14ac:dyDescent="0.35">
      <c r="A62" s="2">
        <v>46162</v>
      </c>
      <c r="B62" t="s">
        <v>42</v>
      </c>
      <c r="C62" t="s">
        <v>86</v>
      </c>
      <c r="D62" t="s">
        <v>88</v>
      </c>
      <c r="E62" t="s">
        <v>83</v>
      </c>
      <c r="F62">
        <v>46</v>
      </c>
      <c r="G62">
        <v>823</v>
      </c>
    </row>
    <row r="63" spans="1:8" x14ac:dyDescent="0.35">
      <c r="A63" s="2">
        <v>46162</v>
      </c>
      <c r="B63" t="s">
        <v>42</v>
      </c>
      <c r="C63" t="s">
        <v>86</v>
      </c>
      <c r="D63" t="s">
        <v>88</v>
      </c>
      <c r="E63" t="s">
        <v>83</v>
      </c>
      <c r="F63">
        <v>40</v>
      </c>
      <c r="G63">
        <v>500</v>
      </c>
    </row>
    <row r="64" spans="1:8" x14ac:dyDescent="0.35">
      <c r="A64" s="2">
        <v>46162</v>
      </c>
      <c r="B64" t="s">
        <v>42</v>
      </c>
      <c r="C64" t="s">
        <v>87</v>
      </c>
      <c r="D64" t="s">
        <v>88</v>
      </c>
      <c r="E64" t="s">
        <v>83</v>
      </c>
      <c r="F64">
        <v>49</v>
      </c>
      <c r="G64">
        <v>867</v>
      </c>
      <c r="H64" t="s">
        <v>8</v>
      </c>
    </row>
    <row r="65" spans="1:8" x14ac:dyDescent="0.35">
      <c r="A65" s="2">
        <v>46172</v>
      </c>
      <c r="B65" t="s">
        <v>89</v>
      </c>
      <c r="C65" t="s">
        <v>93</v>
      </c>
      <c r="D65" t="s">
        <v>40</v>
      </c>
      <c r="E65" t="s">
        <v>83</v>
      </c>
      <c r="F65">
        <v>45</v>
      </c>
      <c r="G65">
        <v>600</v>
      </c>
    </row>
    <row r="66" spans="1:8" x14ac:dyDescent="0.35">
      <c r="A66" s="2">
        <v>46172</v>
      </c>
      <c r="B66" t="s">
        <v>89</v>
      </c>
      <c r="C66" t="s">
        <v>93</v>
      </c>
      <c r="D66" t="s">
        <v>40</v>
      </c>
      <c r="E66" t="s">
        <v>83</v>
      </c>
      <c r="F66">
        <v>47</v>
      </c>
    </row>
    <row r="67" spans="1:8" x14ac:dyDescent="0.35">
      <c r="A67" s="2">
        <v>46172</v>
      </c>
      <c r="B67" t="s">
        <v>89</v>
      </c>
      <c r="C67" t="s">
        <v>95</v>
      </c>
      <c r="D67" t="s">
        <v>40</v>
      </c>
      <c r="E67" t="s">
        <v>83</v>
      </c>
      <c r="F67">
        <v>45</v>
      </c>
    </row>
    <row r="68" spans="1:8" x14ac:dyDescent="0.35">
      <c r="A68" s="2">
        <v>46172</v>
      </c>
      <c r="B68" t="s">
        <v>89</v>
      </c>
      <c r="C68" t="s">
        <v>95</v>
      </c>
      <c r="D68" t="s">
        <v>40</v>
      </c>
      <c r="E68" t="s">
        <v>83</v>
      </c>
      <c r="F68">
        <v>45</v>
      </c>
    </row>
    <row r="69" spans="1:8" x14ac:dyDescent="0.35">
      <c r="A69" s="2">
        <v>46172</v>
      </c>
      <c r="B69" t="s">
        <v>89</v>
      </c>
      <c r="C69" t="s">
        <v>95</v>
      </c>
      <c r="D69" t="s">
        <v>40</v>
      </c>
      <c r="E69" t="s">
        <v>83</v>
      </c>
      <c r="F69">
        <v>48</v>
      </c>
    </row>
    <row r="70" spans="1:8" x14ac:dyDescent="0.35">
      <c r="A70" s="2">
        <v>46172</v>
      </c>
      <c r="B70" t="s">
        <v>89</v>
      </c>
      <c r="C70" t="s">
        <v>93</v>
      </c>
      <c r="D70" t="s">
        <v>40</v>
      </c>
      <c r="E70" t="s">
        <v>6</v>
      </c>
      <c r="F70">
        <v>45</v>
      </c>
      <c r="H70" t="s">
        <v>8</v>
      </c>
    </row>
    <row r="71" spans="1:8" x14ac:dyDescent="0.35">
      <c r="A71" s="2">
        <v>46172</v>
      </c>
      <c r="B71" t="s">
        <v>89</v>
      </c>
      <c r="C71" t="s">
        <v>86</v>
      </c>
      <c r="D71" t="s">
        <v>41</v>
      </c>
      <c r="E71" t="s">
        <v>6</v>
      </c>
      <c r="F71">
        <v>43</v>
      </c>
      <c r="H71" t="s">
        <v>8</v>
      </c>
    </row>
    <row r="72" spans="1:8" x14ac:dyDescent="0.35">
      <c r="A72" s="2">
        <v>46172</v>
      </c>
      <c r="B72" t="s">
        <v>89</v>
      </c>
      <c r="C72" t="s">
        <v>94</v>
      </c>
      <c r="D72" t="s">
        <v>41</v>
      </c>
      <c r="E72" t="s">
        <v>6</v>
      </c>
      <c r="F72">
        <v>67</v>
      </c>
    </row>
    <row r="73" spans="1:8" x14ac:dyDescent="0.35">
      <c r="A73" s="2">
        <v>46172</v>
      </c>
      <c r="B73" t="s">
        <v>89</v>
      </c>
      <c r="C73" t="s">
        <v>85</v>
      </c>
      <c r="D73" t="s">
        <v>40</v>
      </c>
      <c r="E73" t="s">
        <v>6</v>
      </c>
      <c r="F73">
        <v>70</v>
      </c>
      <c r="G73">
        <v>3400</v>
      </c>
      <c r="H73" t="s">
        <v>8</v>
      </c>
    </row>
    <row r="74" spans="1:8" x14ac:dyDescent="0.35">
      <c r="A74" s="2">
        <v>46172</v>
      </c>
      <c r="B74" t="s">
        <v>90</v>
      </c>
      <c r="C74" t="s">
        <v>94</v>
      </c>
      <c r="D74" t="s">
        <v>41</v>
      </c>
      <c r="E74" t="s">
        <v>6</v>
      </c>
      <c r="F74">
        <v>64</v>
      </c>
    </row>
    <row r="75" spans="1:8" x14ac:dyDescent="0.35">
      <c r="A75" s="2">
        <v>46172</v>
      </c>
      <c r="B75" t="s">
        <v>90</v>
      </c>
      <c r="C75" t="s">
        <v>94</v>
      </c>
      <c r="D75" t="s">
        <v>41</v>
      </c>
      <c r="E75" t="s">
        <v>6</v>
      </c>
      <c r="F75">
        <v>75</v>
      </c>
      <c r="G75">
        <v>4600</v>
      </c>
    </row>
    <row r="76" spans="1:8" x14ac:dyDescent="0.35">
      <c r="A76" s="2">
        <v>46172</v>
      </c>
      <c r="B76" t="s">
        <v>44</v>
      </c>
      <c r="C76" t="s">
        <v>95</v>
      </c>
      <c r="D76" t="s">
        <v>41</v>
      </c>
      <c r="E76" t="s">
        <v>6</v>
      </c>
      <c r="F76">
        <v>55</v>
      </c>
      <c r="G76">
        <v>1300</v>
      </c>
    </row>
    <row r="77" spans="1:8" x14ac:dyDescent="0.35">
      <c r="A77" s="2">
        <v>46173</v>
      </c>
      <c r="B77" t="s">
        <v>44</v>
      </c>
      <c r="C77" t="s">
        <v>94</v>
      </c>
      <c r="D77" t="s">
        <v>41</v>
      </c>
      <c r="E77" t="s">
        <v>6</v>
      </c>
      <c r="F77">
        <v>57</v>
      </c>
    </row>
    <row r="78" spans="1:8" x14ac:dyDescent="0.35">
      <c r="A78" s="2">
        <v>46173</v>
      </c>
      <c r="B78" t="s">
        <v>44</v>
      </c>
      <c r="C78" t="s">
        <v>94</v>
      </c>
      <c r="D78" t="s">
        <v>96</v>
      </c>
      <c r="E78" t="s">
        <v>68</v>
      </c>
      <c r="F78">
        <v>104</v>
      </c>
      <c r="G78">
        <v>13000</v>
      </c>
    </row>
    <row r="79" spans="1:8" x14ac:dyDescent="0.35">
      <c r="A79" s="2">
        <v>46173</v>
      </c>
      <c r="B79" t="s">
        <v>54</v>
      </c>
      <c r="C79" t="s">
        <v>93</v>
      </c>
      <c r="D79" t="s">
        <v>60</v>
      </c>
      <c r="E79" t="s">
        <v>52</v>
      </c>
      <c r="F79">
        <v>35</v>
      </c>
      <c r="H79" t="s">
        <v>8</v>
      </c>
    </row>
    <row r="80" spans="1:8" x14ac:dyDescent="0.35">
      <c r="A80" s="2">
        <v>46173</v>
      </c>
      <c r="B80" t="s">
        <v>91</v>
      </c>
      <c r="C80" t="s">
        <v>95</v>
      </c>
      <c r="D80" t="s">
        <v>41</v>
      </c>
      <c r="E80" t="s">
        <v>79</v>
      </c>
      <c r="F80">
        <v>68</v>
      </c>
      <c r="G80">
        <v>3000</v>
      </c>
    </row>
    <row r="81" spans="1:7" x14ac:dyDescent="0.35">
      <c r="A81" s="2">
        <v>46173</v>
      </c>
      <c r="B81" t="s">
        <v>42</v>
      </c>
      <c r="C81" t="s">
        <v>93</v>
      </c>
      <c r="D81" t="s">
        <v>60</v>
      </c>
      <c r="E81" t="s">
        <v>52</v>
      </c>
      <c r="F81">
        <v>68</v>
      </c>
      <c r="G81">
        <v>1500</v>
      </c>
    </row>
  </sheetData>
  <sortState xmlns:xlrd2="http://schemas.microsoft.com/office/spreadsheetml/2017/richdata2" ref="A3:H998">
    <sortCondition ref="A3:A998"/>
    <sortCondition ref="B3:B998"/>
    <sortCondition ref="E3:E9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5E2E-BFF7-4E32-A03E-913AB4DFDB98}">
  <dimension ref="A1:S216"/>
  <sheetViews>
    <sheetView tabSelected="1" zoomScale="80" zoomScaleNormal="80" workbookViewId="0">
      <selection activeCell="O35" sqref="O35"/>
    </sheetView>
  </sheetViews>
  <sheetFormatPr defaultRowHeight="14.5" x14ac:dyDescent="0.35"/>
  <cols>
    <col min="1" max="1" width="18.6328125" customWidth="1"/>
    <col min="3" max="3" width="14.90625" customWidth="1"/>
    <col min="6" max="6" width="12.1796875" customWidth="1"/>
    <col min="7" max="7" width="13.36328125" customWidth="1"/>
    <col min="8" max="8" width="12.453125" customWidth="1"/>
    <col min="9" max="10" width="13" customWidth="1"/>
    <col min="11" max="11" width="11.36328125" customWidth="1"/>
    <col min="15" max="15" width="11.08984375" customWidth="1"/>
    <col min="16" max="16" width="12.1796875" customWidth="1"/>
    <col min="19" max="19" width="13.81640625" customWidth="1"/>
  </cols>
  <sheetData>
    <row r="1" spans="1:19" s="5" customFormat="1" x14ac:dyDescent="0.35">
      <c r="A1" s="5" t="s">
        <v>31</v>
      </c>
      <c r="B1" s="5" t="s">
        <v>16</v>
      </c>
      <c r="C1" s="1" t="s">
        <v>0</v>
      </c>
      <c r="D1" s="1" t="s">
        <v>10</v>
      </c>
      <c r="E1" s="1" t="s">
        <v>11</v>
      </c>
      <c r="F1" s="5" t="s">
        <v>32</v>
      </c>
      <c r="G1" s="5" t="s">
        <v>34</v>
      </c>
      <c r="H1" s="1" t="s">
        <v>35</v>
      </c>
      <c r="I1" s="1" t="s">
        <v>33</v>
      </c>
      <c r="J1" s="1" t="s">
        <v>50</v>
      </c>
      <c r="K1" s="5" t="s">
        <v>22</v>
      </c>
      <c r="L1" s="5" t="s">
        <v>23</v>
      </c>
      <c r="M1" s="1" t="s">
        <v>25</v>
      </c>
      <c r="N1" s="1" t="s">
        <v>26</v>
      </c>
      <c r="O1" s="1" t="s">
        <v>28</v>
      </c>
      <c r="P1" s="1" t="s">
        <v>27</v>
      </c>
      <c r="Q1" s="1" t="s">
        <v>29</v>
      </c>
      <c r="R1" s="1" t="s">
        <v>30</v>
      </c>
      <c r="S1" s="5" t="s">
        <v>24</v>
      </c>
    </row>
    <row r="2" spans="1:19" x14ac:dyDescent="0.35">
      <c r="A2" t="s">
        <v>42</v>
      </c>
      <c r="B2" t="s">
        <v>7</v>
      </c>
      <c r="C2" s="2">
        <v>45997</v>
      </c>
      <c r="D2" s="3">
        <v>0.56319444444444444</v>
      </c>
      <c r="E2" s="3">
        <v>0.6069444444444444</v>
      </c>
      <c r="F2" s="6">
        <v>67.516000000000005</v>
      </c>
      <c r="G2" s="6">
        <v>15.481199999999999</v>
      </c>
      <c r="H2" s="6">
        <v>67.516000000000005</v>
      </c>
      <c r="I2" s="6">
        <v>15.481199999999999</v>
      </c>
      <c r="K2">
        <v>14</v>
      </c>
      <c r="L2">
        <v>35</v>
      </c>
      <c r="O2" t="s">
        <v>55</v>
      </c>
      <c r="P2">
        <v>305</v>
      </c>
      <c r="Q2" t="s">
        <v>49</v>
      </c>
      <c r="R2" t="s">
        <v>48</v>
      </c>
    </row>
    <row r="3" spans="1:19" x14ac:dyDescent="0.35">
      <c r="A3" t="s">
        <v>42</v>
      </c>
      <c r="B3" t="s">
        <v>7</v>
      </c>
      <c r="C3" s="2">
        <v>46062</v>
      </c>
      <c r="D3" s="3">
        <v>0.5541666666666667</v>
      </c>
      <c r="E3" s="3">
        <v>0.58263888888888893</v>
      </c>
      <c r="F3" s="6">
        <v>67.516000000000005</v>
      </c>
      <c r="G3" s="6">
        <v>15.481199999999999</v>
      </c>
      <c r="H3" s="6">
        <v>67.516000000000005</v>
      </c>
      <c r="I3" s="6">
        <v>15.481199999999999</v>
      </c>
      <c r="J3">
        <v>2</v>
      </c>
      <c r="K3">
        <v>26</v>
      </c>
      <c r="L3">
        <v>50</v>
      </c>
      <c r="O3" t="s">
        <v>36</v>
      </c>
      <c r="P3">
        <v>133</v>
      </c>
      <c r="Q3" t="s">
        <v>38</v>
      </c>
      <c r="R3" t="s">
        <v>39</v>
      </c>
      <c r="S3" t="s">
        <v>45</v>
      </c>
    </row>
    <row r="4" spans="1:19" x14ac:dyDescent="0.35">
      <c r="A4" t="s">
        <v>43</v>
      </c>
      <c r="B4" t="s">
        <v>7</v>
      </c>
      <c r="C4" s="2">
        <v>46062</v>
      </c>
      <c r="D4" s="3">
        <v>0.58819444444444446</v>
      </c>
      <c r="E4" s="3">
        <v>0.61041666666666672</v>
      </c>
      <c r="F4" s="6">
        <v>67.528099999999995</v>
      </c>
      <c r="G4" s="6">
        <v>15.458</v>
      </c>
      <c r="H4" s="6">
        <v>67.528099999999995</v>
      </c>
      <c r="I4" s="6">
        <v>15.458</v>
      </c>
      <c r="J4">
        <v>2</v>
      </c>
      <c r="K4">
        <v>26</v>
      </c>
      <c r="L4">
        <v>40</v>
      </c>
      <c r="O4" t="s">
        <v>36</v>
      </c>
      <c r="P4">
        <v>164</v>
      </c>
      <c r="Q4" t="s">
        <v>38</v>
      </c>
      <c r="R4" t="s">
        <v>39</v>
      </c>
      <c r="S4" t="s">
        <v>47</v>
      </c>
    </row>
    <row r="5" spans="1:19" x14ac:dyDescent="0.35">
      <c r="A5" t="s">
        <v>44</v>
      </c>
      <c r="B5" t="s">
        <v>7</v>
      </c>
      <c r="C5" s="2">
        <v>46062</v>
      </c>
      <c r="D5" s="3">
        <v>0.625</v>
      </c>
      <c r="E5" s="3">
        <v>0.65763888888888888</v>
      </c>
      <c r="F5" s="6">
        <v>67.503900000000002</v>
      </c>
      <c r="G5" s="6">
        <v>15.3994</v>
      </c>
      <c r="H5" s="6">
        <v>67.503900000000002</v>
      </c>
      <c r="I5" s="6">
        <v>15.3994</v>
      </c>
      <c r="J5">
        <v>2</v>
      </c>
      <c r="K5">
        <v>21</v>
      </c>
      <c r="L5">
        <v>35</v>
      </c>
      <c r="O5" t="s">
        <v>36</v>
      </c>
      <c r="P5">
        <v>190</v>
      </c>
      <c r="Q5" t="s">
        <v>38</v>
      </c>
      <c r="R5" t="s">
        <v>39</v>
      </c>
      <c r="S5" t="s">
        <v>46</v>
      </c>
    </row>
    <row r="6" spans="1:19" x14ac:dyDescent="0.35">
      <c r="A6" t="s">
        <v>42</v>
      </c>
      <c r="B6" t="s">
        <v>7</v>
      </c>
      <c r="C6" s="2">
        <v>46074</v>
      </c>
      <c r="D6" s="3">
        <v>0.51388888888888884</v>
      </c>
      <c r="E6" s="3">
        <v>0.5625</v>
      </c>
      <c r="F6" s="6">
        <v>67.516000000000005</v>
      </c>
      <c r="G6" s="6">
        <v>15.481199999999999</v>
      </c>
      <c r="H6" s="6">
        <v>67.516000000000005</v>
      </c>
      <c r="I6" s="6">
        <v>15.481199999999999</v>
      </c>
      <c r="J6">
        <v>1</v>
      </c>
      <c r="K6">
        <v>23</v>
      </c>
      <c r="L6">
        <v>55</v>
      </c>
      <c r="O6" t="s">
        <v>36</v>
      </c>
      <c r="P6">
        <v>204</v>
      </c>
      <c r="Q6" t="s">
        <v>49</v>
      </c>
      <c r="R6" t="s">
        <v>48</v>
      </c>
    </row>
    <row r="7" spans="1:19" x14ac:dyDescent="0.35">
      <c r="A7" t="s">
        <v>43</v>
      </c>
      <c r="B7" t="s">
        <v>7</v>
      </c>
      <c r="C7" s="2">
        <v>46074</v>
      </c>
      <c r="D7" s="3">
        <v>0.60624999999999996</v>
      </c>
      <c r="E7" s="3">
        <v>0.63680555555555551</v>
      </c>
      <c r="F7" s="6">
        <v>67.528099999999995</v>
      </c>
      <c r="G7" s="6">
        <v>15.458</v>
      </c>
      <c r="H7" s="6">
        <v>67.528099999999995</v>
      </c>
      <c r="I7" s="6">
        <v>15.458</v>
      </c>
      <c r="J7">
        <v>1</v>
      </c>
      <c r="K7">
        <v>18</v>
      </c>
      <c r="L7">
        <v>40</v>
      </c>
      <c r="O7" t="s">
        <v>37</v>
      </c>
      <c r="P7">
        <v>300</v>
      </c>
      <c r="Q7" t="s">
        <v>38</v>
      </c>
      <c r="R7" t="s">
        <v>48</v>
      </c>
    </row>
    <row r="8" spans="1:19" x14ac:dyDescent="0.35">
      <c r="A8" t="s">
        <v>54</v>
      </c>
      <c r="B8" t="s">
        <v>53</v>
      </c>
      <c r="C8" s="2">
        <v>46082</v>
      </c>
      <c r="D8" s="3">
        <v>0.5</v>
      </c>
      <c r="E8" s="3">
        <v>0.5625</v>
      </c>
      <c r="F8" s="6">
        <v>67.5792</v>
      </c>
      <c r="G8" s="6">
        <v>15.7844</v>
      </c>
      <c r="H8" s="7">
        <v>67.5792</v>
      </c>
      <c r="I8" s="6">
        <v>15.7844</v>
      </c>
      <c r="J8">
        <v>2</v>
      </c>
      <c r="K8">
        <v>60</v>
      </c>
      <c r="L8">
        <v>20</v>
      </c>
      <c r="M8">
        <v>1.5</v>
      </c>
      <c r="O8" t="s">
        <v>55</v>
      </c>
      <c r="P8">
        <v>222</v>
      </c>
      <c r="Q8" t="s">
        <v>38</v>
      </c>
      <c r="R8" t="s">
        <v>56</v>
      </c>
      <c r="S8" t="s">
        <v>62</v>
      </c>
    </row>
    <row r="9" spans="1:19" x14ac:dyDescent="0.35">
      <c r="A9" t="s">
        <v>57</v>
      </c>
      <c r="B9" t="s">
        <v>53</v>
      </c>
      <c r="C9" s="2">
        <v>46082</v>
      </c>
      <c r="D9" s="3">
        <v>0.57638888888888884</v>
      </c>
      <c r="E9" s="3">
        <v>0.58333333333333337</v>
      </c>
      <c r="F9" s="6">
        <v>67.565600000000003</v>
      </c>
      <c r="G9" s="6">
        <v>15.738899999999999</v>
      </c>
      <c r="H9" s="6">
        <v>67.565600000000003</v>
      </c>
      <c r="I9" s="6">
        <v>15.738899999999999</v>
      </c>
      <c r="J9">
        <v>1</v>
      </c>
      <c r="K9">
        <v>141</v>
      </c>
      <c r="L9">
        <v>150</v>
      </c>
      <c r="M9">
        <v>1.5</v>
      </c>
      <c r="O9" t="s">
        <v>55</v>
      </c>
      <c r="P9">
        <v>192</v>
      </c>
      <c r="Q9" t="s">
        <v>38</v>
      </c>
      <c r="R9" t="s">
        <v>56</v>
      </c>
    </row>
    <row r="10" spans="1:19" x14ac:dyDescent="0.35">
      <c r="A10" t="s">
        <v>58</v>
      </c>
      <c r="B10" t="s">
        <v>53</v>
      </c>
      <c r="C10" s="2">
        <v>46082</v>
      </c>
      <c r="D10" s="3">
        <v>0.59375</v>
      </c>
      <c r="E10" s="3">
        <v>0.61805555555555558</v>
      </c>
      <c r="F10" s="6">
        <v>67.566599999999994</v>
      </c>
      <c r="G10" s="6">
        <v>15.6995</v>
      </c>
      <c r="H10" s="6">
        <v>67.566599999999994</v>
      </c>
      <c r="I10" s="6">
        <v>15.6995</v>
      </c>
      <c r="J10">
        <v>2</v>
      </c>
      <c r="K10">
        <v>50</v>
      </c>
      <c r="L10">
        <v>60</v>
      </c>
      <c r="M10">
        <v>1.5</v>
      </c>
      <c r="O10" t="s">
        <v>55</v>
      </c>
      <c r="P10">
        <v>148</v>
      </c>
      <c r="Q10" t="s">
        <v>38</v>
      </c>
      <c r="R10" t="s">
        <v>56</v>
      </c>
    </row>
    <row r="11" spans="1:19" x14ac:dyDescent="0.35">
      <c r="A11" t="s">
        <v>59</v>
      </c>
      <c r="B11" t="s">
        <v>53</v>
      </c>
      <c r="C11" s="2">
        <v>46082</v>
      </c>
      <c r="D11" s="3">
        <v>0.62847222222222221</v>
      </c>
      <c r="E11" s="3">
        <v>0.64930555555555558</v>
      </c>
      <c r="F11" s="6">
        <v>67.519800000000004</v>
      </c>
      <c r="G11" s="6">
        <v>15.5815</v>
      </c>
      <c r="H11" s="6">
        <v>67.519800000000004</v>
      </c>
      <c r="I11" s="6">
        <v>15.5815</v>
      </c>
      <c r="J11">
        <v>1</v>
      </c>
      <c r="K11">
        <v>20</v>
      </c>
      <c r="L11">
        <v>30</v>
      </c>
      <c r="M11">
        <v>1.5</v>
      </c>
      <c r="O11" t="s">
        <v>55</v>
      </c>
      <c r="P11">
        <v>120</v>
      </c>
      <c r="Q11" t="s">
        <v>38</v>
      </c>
      <c r="R11" t="s">
        <v>56</v>
      </c>
    </row>
    <row r="12" spans="1:19" x14ac:dyDescent="0.35">
      <c r="A12" t="s">
        <v>54</v>
      </c>
      <c r="B12" t="s">
        <v>53</v>
      </c>
      <c r="C12" s="2">
        <v>46095</v>
      </c>
      <c r="D12" s="3">
        <v>0.66666666666666663</v>
      </c>
      <c r="E12" s="3">
        <v>0.73611111111111116</v>
      </c>
      <c r="F12" s="6">
        <v>67.5792</v>
      </c>
      <c r="G12" s="6">
        <v>15.7844</v>
      </c>
      <c r="H12" s="7">
        <v>67.5792</v>
      </c>
      <c r="I12" s="6">
        <v>15.7844</v>
      </c>
      <c r="J12">
        <v>2</v>
      </c>
      <c r="K12">
        <v>15</v>
      </c>
      <c r="L12">
        <v>35</v>
      </c>
      <c r="M12">
        <v>4.0999999999999996</v>
      </c>
      <c r="O12" t="s">
        <v>36</v>
      </c>
      <c r="P12">
        <v>160</v>
      </c>
      <c r="Q12" t="s">
        <v>38</v>
      </c>
      <c r="R12" t="s">
        <v>48</v>
      </c>
    </row>
    <row r="13" spans="1:19" x14ac:dyDescent="0.35">
      <c r="A13" t="s">
        <v>73</v>
      </c>
      <c r="B13" t="s">
        <v>75</v>
      </c>
      <c r="C13" s="2">
        <v>46116</v>
      </c>
      <c r="D13" s="3">
        <v>0.5625</v>
      </c>
      <c r="E13" s="3">
        <v>0.58680555555555558</v>
      </c>
      <c r="F13" s="6">
        <v>67.511700000000005</v>
      </c>
      <c r="G13" s="6">
        <v>15.272</v>
      </c>
      <c r="H13" s="6">
        <v>67.511700000000005</v>
      </c>
      <c r="I13" s="6">
        <v>15.272</v>
      </c>
      <c r="J13">
        <v>2</v>
      </c>
      <c r="K13" s="6">
        <v>27</v>
      </c>
      <c r="L13" s="6">
        <v>40</v>
      </c>
      <c r="M13" s="6">
        <v>4.8</v>
      </c>
      <c r="Q13" t="s">
        <v>38</v>
      </c>
      <c r="R13" t="s">
        <v>48</v>
      </c>
    </row>
    <row r="14" spans="1:19" x14ac:dyDescent="0.35">
      <c r="A14" t="s">
        <v>76</v>
      </c>
      <c r="B14" t="s">
        <v>75</v>
      </c>
      <c r="C14" s="2">
        <v>46116</v>
      </c>
      <c r="D14" s="3">
        <v>0.59375</v>
      </c>
      <c r="E14" s="3">
        <v>0.61805555555555558</v>
      </c>
      <c r="F14" s="6">
        <v>67.482100000000003</v>
      </c>
      <c r="G14" s="6">
        <v>15.217700000000001</v>
      </c>
      <c r="H14" s="6">
        <v>67.482100000000003</v>
      </c>
      <c r="I14" s="6">
        <v>15.217700000000001</v>
      </c>
      <c r="J14" s="6">
        <v>3</v>
      </c>
      <c r="K14" s="6">
        <v>30</v>
      </c>
      <c r="L14" s="6">
        <v>40</v>
      </c>
      <c r="M14" s="6">
        <v>4.8</v>
      </c>
      <c r="Q14" t="s">
        <v>38</v>
      </c>
      <c r="R14" t="s">
        <v>48</v>
      </c>
    </row>
    <row r="15" spans="1:19" x14ac:dyDescent="0.35">
      <c r="A15" t="s">
        <v>77</v>
      </c>
      <c r="B15" t="s">
        <v>75</v>
      </c>
      <c r="C15" s="2">
        <v>46116</v>
      </c>
      <c r="D15" s="3">
        <v>0.62916666666666665</v>
      </c>
      <c r="E15" s="3">
        <v>0.64236111111111116</v>
      </c>
      <c r="F15" s="6">
        <v>67.459000000000003</v>
      </c>
      <c r="G15" s="6">
        <v>15.138999999999999</v>
      </c>
      <c r="H15" s="6">
        <v>67.459000000000003</v>
      </c>
      <c r="I15" s="6">
        <v>15.138999999999999</v>
      </c>
      <c r="J15" s="6">
        <v>2</v>
      </c>
      <c r="K15" s="6">
        <v>10</v>
      </c>
      <c r="L15" s="6">
        <v>25</v>
      </c>
      <c r="M15" s="6">
        <v>4.8</v>
      </c>
      <c r="Q15" t="s">
        <v>38</v>
      </c>
      <c r="R15" t="s">
        <v>48</v>
      </c>
    </row>
    <row r="16" spans="1:19" x14ac:dyDescent="0.35">
      <c r="A16" t="s">
        <v>78</v>
      </c>
      <c r="B16" t="s">
        <v>7</v>
      </c>
      <c r="C16" s="2">
        <v>46116</v>
      </c>
      <c r="D16" s="3">
        <v>0.65277777777777779</v>
      </c>
      <c r="E16" s="3">
        <v>0.66666666666666663</v>
      </c>
      <c r="F16" s="6">
        <v>67.530600000000007</v>
      </c>
      <c r="G16" s="6">
        <v>15.414999999999999</v>
      </c>
      <c r="H16" s="6">
        <v>67.530600000000007</v>
      </c>
      <c r="I16" s="6">
        <v>15.414999999999999</v>
      </c>
      <c r="J16" s="6">
        <v>3</v>
      </c>
      <c r="K16" s="6">
        <v>8</v>
      </c>
      <c r="L16" s="6">
        <v>20</v>
      </c>
      <c r="M16" s="6">
        <v>4.8</v>
      </c>
      <c r="Q16" t="s">
        <v>38</v>
      </c>
      <c r="R16" t="s">
        <v>48</v>
      </c>
    </row>
    <row r="17" spans="1:19" x14ac:dyDescent="0.35">
      <c r="A17" t="s">
        <v>42</v>
      </c>
      <c r="B17" t="s">
        <v>7</v>
      </c>
      <c r="C17" s="2">
        <v>46116</v>
      </c>
      <c r="D17" s="3">
        <v>0.67361111111111116</v>
      </c>
      <c r="E17" s="3">
        <v>0.69444444444444442</v>
      </c>
      <c r="F17" s="6">
        <v>67.516000000000005</v>
      </c>
      <c r="G17" s="6">
        <v>15.481199999999999</v>
      </c>
      <c r="H17" s="6">
        <v>67.516000000000005</v>
      </c>
      <c r="I17" s="6">
        <v>15.481199999999999</v>
      </c>
      <c r="J17">
        <v>2</v>
      </c>
      <c r="K17">
        <v>15</v>
      </c>
      <c r="L17">
        <v>50</v>
      </c>
      <c r="M17" s="6">
        <v>4.8</v>
      </c>
      <c r="Q17" t="s">
        <v>38</v>
      </c>
      <c r="R17" t="s">
        <v>48</v>
      </c>
    </row>
    <row r="18" spans="1:19" x14ac:dyDescent="0.35">
      <c r="A18" t="s">
        <v>42</v>
      </c>
      <c r="B18" t="s">
        <v>7</v>
      </c>
      <c r="C18" s="2">
        <v>46142</v>
      </c>
      <c r="D18" s="3">
        <v>0.70833333333333337</v>
      </c>
      <c r="E18" s="3">
        <v>0.75</v>
      </c>
      <c r="F18" s="6">
        <v>67.516000000000005</v>
      </c>
      <c r="G18" s="6">
        <v>15.481199999999999</v>
      </c>
      <c r="H18" s="6">
        <v>67.516000000000005</v>
      </c>
      <c r="I18" s="6">
        <v>15.481199999999999</v>
      </c>
      <c r="J18" s="6">
        <v>1</v>
      </c>
      <c r="K18">
        <v>15</v>
      </c>
      <c r="L18">
        <v>50</v>
      </c>
      <c r="O18" t="s">
        <v>55</v>
      </c>
      <c r="P18">
        <v>97</v>
      </c>
      <c r="Q18" t="s">
        <v>38</v>
      </c>
      <c r="R18" t="s">
        <v>48</v>
      </c>
    </row>
    <row r="19" spans="1:19" x14ac:dyDescent="0.35">
      <c r="A19" t="s">
        <v>44</v>
      </c>
      <c r="B19" t="s">
        <v>7</v>
      </c>
      <c r="C19" s="2">
        <v>46150</v>
      </c>
      <c r="D19" s="3">
        <v>0.90972222222222221</v>
      </c>
      <c r="E19" s="3">
        <v>0.9375</v>
      </c>
      <c r="F19" s="6">
        <v>67.503900000000002</v>
      </c>
      <c r="G19" s="6">
        <v>15.3994</v>
      </c>
      <c r="H19" s="6">
        <v>67.503900000000002</v>
      </c>
      <c r="I19" s="6">
        <v>15.3994</v>
      </c>
      <c r="J19" s="6">
        <v>2</v>
      </c>
      <c r="K19">
        <v>21</v>
      </c>
      <c r="L19">
        <v>35</v>
      </c>
      <c r="O19" t="s">
        <v>55</v>
      </c>
      <c r="P19">
        <v>128</v>
      </c>
      <c r="Q19" t="s">
        <v>38</v>
      </c>
      <c r="R19" t="s">
        <v>56</v>
      </c>
    </row>
    <row r="20" spans="1:19" x14ac:dyDescent="0.35">
      <c r="A20" t="s">
        <v>42</v>
      </c>
      <c r="B20" t="s">
        <v>7</v>
      </c>
      <c r="C20" s="2">
        <v>46158</v>
      </c>
      <c r="D20" s="3">
        <v>0.41736111111111113</v>
      </c>
      <c r="E20" s="3">
        <v>0.50069444444444444</v>
      </c>
      <c r="F20" s="6">
        <v>67.516000000000005</v>
      </c>
      <c r="G20" s="6">
        <v>15.481199999999999</v>
      </c>
      <c r="H20" s="6">
        <v>67.516000000000005</v>
      </c>
      <c r="I20" s="6">
        <v>15.481199999999999</v>
      </c>
      <c r="J20" s="6">
        <v>2</v>
      </c>
      <c r="K20">
        <v>15</v>
      </c>
      <c r="L20">
        <v>50</v>
      </c>
      <c r="O20" t="s">
        <v>36</v>
      </c>
      <c r="P20">
        <v>200</v>
      </c>
      <c r="Q20" t="s">
        <v>38</v>
      </c>
      <c r="R20" t="s">
        <v>48</v>
      </c>
    </row>
    <row r="21" spans="1:19" x14ac:dyDescent="0.35">
      <c r="A21" t="s">
        <v>42</v>
      </c>
      <c r="B21" t="s">
        <v>7</v>
      </c>
      <c r="C21" s="2">
        <v>46159</v>
      </c>
      <c r="D21" s="3">
        <v>0.79166666666666663</v>
      </c>
      <c r="E21" s="3">
        <v>0.8125</v>
      </c>
      <c r="F21" s="6">
        <v>67.516000000000005</v>
      </c>
      <c r="G21" s="6">
        <v>15.481199999999999</v>
      </c>
      <c r="H21" s="6">
        <v>67.516000000000005</v>
      </c>
      <c r="I21" s="6">
        <v>15.481199999999999</v>
      </c>
      <c r="J21" s="6">
        <v>2</v>
      </c>
      <c r="K21">
        <v>15</v>
      </c>
      <c r="L21">
        <v>50</v>
      </c>
      <c r="O21" t="s">
        <v>82</v>
      </c>
      <c r="P21">
        <v>24</v>
      </c>
      <c r="Q21" t="s">
        <v>38</v>
      </c>
      <c r="R21" t="s">
        <v>56</v>
      </c>
    </row>
    <row r="22" spans="1:19" x14ac:dyDescent="0.35">
      <c r="A22" t="s">
        <v>42</v>
      </c>
      <c r="B22" t="s">
        <v>7</v>
      </c>
      <c r="C22" s="2">
        <v>46162</v>
      </c>
      <c r="D22" s="3">
        <v>0.63888888888888884</v>
      </c>
      <c r="E22" s="3">
        <v>0.66666666666666663</v>
      </c>
      <c r="F22" s="6">
        <v>67.516000000000005</v>
      </c>
      <c r="G22" s="6">
        <v>15.481199999999999</v>
      </c>
      <c r="H22" s="6">
        <v>67.516000000000005</v>
      </c>
      <c r="I22" s="6">
        <v>15.481199999999999</v>
      </c>
      <c r="J22" s="6">
        <v>2</v>
      </c>
      <c r="K22">
        <v>15</v>
      </c>
      <c r="L22">
        <v>50</v>
      </c>
      <c r="O22" t="s">
        <v>36</v>
      </c>
      <c r="P22">
        <v>250</v>
      </c>
      <c r="Q22" t="s">
        <v>38</v>
      </c>
      <c r="R22" t="s">
        <v>56</v>
      </c>
    </row>
    <row r="23" spans="1:19" x14ac:dyDescent="0.35">
      <c r="A23" t="s">
        <v>89</v>
      </c>
      <c r="B23" t="s">
        <v>7</v>
      </c>
      <c r="C23" s="2">
        <v>46172</v>
      </c>
      <c r="D23" s="3">
        <v>0.45833333333333331</v>
      </c>
      <c r="E23" s="3">
        <v>0.52083333333333337</v>
      </c>
      <c r="F23" s="6">
        <v>67.368099999999998</v>
      </c>
      <c r="G23" s="6">
        <v>15.1264</v>
      </c>
      <c r="H23" s="6">
        <v>67.368099999999998</v>
      </c>
      <c r="I23" s="6">
        <v>15.1264</v>
      </c>
      <c r="J23" s="6">
        <v>4</v>
      </c>
      <c r="K23" s="6">
        <v>13</v>
      </c>
      <c r="L23" s="6">
        <v>30</v>
      </c>
      <c r="O23" t="s">
        <v>36</v>
      </c>
      <c r="P23">
        <v>240</v>
      </c>
      <c r="Q23" t="s">
        <v>38</v>
      </c>
      <c r="R23" t="s">
        <v>56</v>
      </c>
    </row>
    <row r="24" spans="1:19" x14ac:dyDescent="0.35">
      <c r="A24" t="s">
        <v>90</v>
      </c>
      <c r="B24" t="s">
        <v>7</v>
      </c>
      <c r="C24" s="2">
        <v>46172</v>
      </c>
      <c r="D24" s="3">
        <v>0.60416666666666663</v>
      </c>
      <c r="E24" s="3">
        <v>0.625</v>
      </c>
      <c r="F24" s="6">
        <v>67.349299999999999</v>
      </c>
      <c r="G24" s="6">
        <v>15.1318</v>
      </c>
      <c r="H24" s="6">
        <v>67.349299999999999</v>
      </c>
      <c r="I24" s="6">
        <v>15.1318</v>
      </c>
      <c r="J24" s="6">
        <v>4</v>
      </c>
      <c r="K24" s="6">
        <v>15</v>
      </c>
      <c r="L24" s="6">
        <v>40</v>
      </c>
      <c r="M24" s="6">
        <v>9.6999999999999993</v>
      </c>
      <c r="N24" s="6">
        <v>22.9</v>
      </c>
      <c r="O24" t="s">
        <v>55</v>
      </c>
      <c r="P24" s="6">
        <v>210</v>
      </c>
      <c r="Q24" t="s">
        <v>38</v>
      </c>
      <c r="R24" t="s">
        <v>56</v>
      </c>
    </row>
    <row r="25" spans="1:19" x14ac:dyDescent="0.35">
      <c r="A25" t="s">
        <v>44</v>
      </c>
      <c r="B25" t="s">
        <v>7</v>
      </c>
      <c r="C25" s="2">
        <v>46172</v>
      </c>
      <c r="D25" s="3">
        <v>0.63888888888888884</v>
      </c>
      <c r="E25" s="3">
        <v>0.67708333333333337</v>
      </c>
      <c r="F25" s="6">
        <v>67.503900000000002</v>
      </c>
      <c r="G25" s="6">
        <v>15.3994</v>
      </c>
      <c r="H25" s="6">
        <v>67.503900000000002</v>
      </c>
      <c r="I25" s="6">
        <v>15.3994</v>
      </c>
      <c r="J25" s="6">
        <v>4</v>
      </c>
      <c r="K25" s="6">
        <v>10</v>
      </c>
      <c r="L25" s="6">
        <v>50</v>
      </c>
      <c r="O25" t="s">
        <v>55</v>
      </c>
      <c r="P25" s="6">
        <v>160</v>
      </c>
      <c r="Q25" t="s">
        <v>38</v>
      </c>
      <c r="R25" t="s">
        <v>56</v>
      </c>
      <c r="S25" t="s">
        <v>92</v>
      </c>
    </row>
    <row r="26" spans="1:19" x14ac:dyDescent="0.35">
      <c r="A26" t="s">
        <v>44</v>
      </c>
      <c r="B26" t="s">
        <v>7</v>
      </c>
      <c r="C26" s="2">
        <v>46173</v>
      </c>
      <c r="D26" s="3">
        <v>0.52083333333333337</v>
      </c>
      <c r="E26" s="3">
        <v>0.56944444444444442</v>
      </c>
      <c r="F26" s="6">
        <v>67.503900000000002</v>
      </c>
      <c r="G26" s="6">
        <v>15.3994</v>
      </c>
      <c r="H26" s="6">
        <v>67.503900000000002</v>
      </c>
      <c r="I26" s="6">
        <v>15.3994</v>
      </c>
      <c r="J26" s="6">
        <v>4</v>
      </c>
      <c r="K26" s="6">
        <v>10</v>
      </c>
      <c r="L26" s="6">
        <v>50</v>
      </c>
      <c r="M26" s="6">
        <v>10</v>
      </c>
      <c r="N26" s="6">
        <v>28</v>
      </c>
      <c r="O26" t="s">
        <v>37</v>
      </c>
      <c r="P26" s="6">
        <v>250</v>
      </c>
      <c r="Q26" t="s">
        <v>38</v>
      </c>
      <c r="R26" t="s">
        <v>48</v>
      </c>
    </row>
    <row r="27" spans="1:19" x14ac:dyDescent="0.35">
      <c r="A27" t="s">
        <v>54</v>
      </c>
      <c r="B27" t="s">
        <v>53</v>
      </c>
      <c r="C27" s="2">
        <v>46173</v>
      </c>
      <c r="D27" s="3">
        <v>0.66666666666666663</v>
      </c>
      <c r="E27" s="3">
        <v>0.69791666666666663</v>
      </c>
      <c r="F27" s="6">
        <v>67.5792</v>
      </c>
      <c r="G27" s="6">
        <v>15.7844</v>
      </c>
      <c r="H27" s="7">
        <v>67.5792</v>
      </c>
      <c r="I27" s="6">
        <v>15.7844</v>
      </c>
      <c r="J27" s="6">
        <v>3</v>
      </c>
      <c r="K27">
        <v>20</v>
      </c>
      <c r="L27">
        <v>40</v>
      </c>
      <c r="O27" t="s">
        <v>55</v>
      </c>
      <c r="P27" s="6">
        <v>170</v>
      </c>
      <c r="Q27" t="s">
        <v>38</v>
      </c>
      <c r="R27" t="s">
        <v>48</v>
      </c>
    </row>
    <row r="28" spans="1:19" x14ac:dyDescent="0.35">
      <c r="A28" t="s">
        <v>91</v>
      </c>
      <c r="B28" t="s">
        <v>53</v>
      </c>
      <c r="C28" s="2">
        <v>46173</v>
      </c>
      <c r="D28" s="3">
        <v>0.79166666666666663</v>
      </c>
      <c r="E28" s="3">
        <v>0.8125</v>
      </c>
      <c r="F28" s="6">
        <v>67.353300000000004</v>
      </c>
      <c r="G28" s="6">
        <v>15.5144</v>
      </c>
      <c r="H28" s="6">
        <v>67.353300000000004</v>
      </c>
      <c r="I28" s="6">
        <v>15.5144</v>
      </c>
      <c r="J28" s="6">
        <v>4</v>
      </c>
      <c r="K28" s="6">
        <v>10</v>
      </c>
      <c r="L28" s="6">
        <v>30</v>
      </c>
      <c r="O28" t="s">
        <v>55</v>
      </c>
      <c r="P28" s="6">
        <v>60</v>
      </c>
      <c r="Q28" t="s">
        <v>38</v>
      </c>
      <c r="R28" t="s">
        <v>48</v>
      </c>
    </row>
    <row r="29" spans="1:19" x14ac:dyDescent="0.35">
      <c r="A29" t="s">
        <v>42</v>
      </c>
      <c r="B29" t="s">
        <v>7</v>
      </c>
      <c r="C29" s="2">
        <v>46175</v>
      </c>
      <c r="D29" s="3">
        <v>0.47916666666666669</v>
      </c>
      <c r="E29" s="3">
        <v>0.54166666666666663</v>
      </c>
      <c r="F29" s="6">
        <v>67.516000000000005</v>
      </c>
      <c r="G29" s="6">
        <v>15.481199999999999</v>
      </c>
      <c r="H29" s="6">
        <v>67.516000000000005</v>
      </c>
      <c r="I29" s="6">
        <v>15.481199999999999</v>
      </c>
      <c r="J29" s="6">
        <v>3</v>
      </c>
      <c r="K29" s="6">
        <v>50</v>
      </c>
      <c r="L29" s="6">
        <v>70</v>
      </c>
      <c r="M29" s="6">
        <v>10</v>
      </c>
      <c r="N29" s="6">
        <v>28</v>
      </c>
      <c r="O29" t="s">
        <v>36</v>
      </c>
      <c r="P29" s="6">
        <v>157</v>
      </c>
      <c r="Q29" t="s">
        <v>38</v>
      </c>
      <c r="R29" t="s">
        <v>48</v>
      </c>
    </row>
    <row r="30" spans="1:19" x14ac:dyDescent="0.35">
      <c r="C30" s="4"/>
      <c r="D30" s="3"/>
      <c r="E30" s="3"/>
    </row>
    <row r="31" spans="1:19" x14ac:dyDescent="0.35">
      <c r="C31" s="4"/>
      <c r="D31" s="3"/>
      <c r="E31" s="3"/>
    </row>
    <row r="32" spans="1:19" x14ac:dyDescent="0.35">
      <c r="C32" s="4"/>
      <c r="D32" s="3"/>
      <c r="E32" s="3"/>
    </row>
    <row r="33" spans="3:5" x14ac:dyDescent="0.35">
      <c r="C33" s="4"/>
      <c r="D33" s="3"/>
      <c r="E33" s="3"/>
    </row>
    <row r="34" spans="3:5" x14ac:dyDescent="0.35">
      <c r="C34" s="4"/>
      <c r="D34" s="3"/>
      <c r="E34" s="3"/>
    </row>
    <row r="35" spans="3:5" x14ac:dyDescent="0.35">
      <c r="C35" s="4"/>
      <c r="D35" s="3"/>
      <c r="E35" s="3"/>
    </row>
    <row r="36" spans="3:5" x14ac:dyDescent="0.35">
      <c r="C36" s="4"/>
      <c r="D36" s="3"/>
      <c r="E36" s="3"/>
    </row>
    <row r="37" spans="3:5" x14ac:dyDescent="0.35">
      <c r="C37" s="4"/>
      <c r="D37" s="3"/>
      <c r="E37" s="3"/>
    </row>
    <row r="38" spans="3:5" x14ac:dyDescent="0.35">
      <c r="C38" s="4"/>
      <c r="D38" s="3"/>
      <c r="E38" s="3"/>
    </row>
    <row r="39" spans="3:5" x14ac:dyDescent="0.35">
      <c r="C39" s="4"/>
      <c r="D39" s="3"/>
      <c r="E39" s="3"/>
    </row>
    <row r="40" spans="3:5" x14ac:dyDescent="0.35">
      <c r="C40" s="4"/>
      <c r="D40" s="3"/>
      <c r="E40" s="3"/>
    </row>
    <row r="41" spans="3:5" x14ac:dyDescent="0.35">
      <c r="C41" s="4"/>
      <c r="D41" s="3"/>
      <c r="E41" s="3"/>
    </row>
    <row r="42" spans="3:5" x14ac:dyDescent="0.35">
      <c r="C42" s="4"/>
      <c r="D42" s="3"/>
      <c r="E42" s="3"/>
    </row>
    <row r="43" spans="3:5" x14ac:dyDescent="0.35">
      <c r="C43" s="4"/>
      <c r="D43" s="3"/>
      <c r="E43" s="3"/>
    </row>
    <row r="44" spans="3:5" x14ac:dyDescent="0.35">
      <c r="C44" s="4"/>
      <c r="D44" s="3"/>
      <c r="E44" s="3"/>
    </row>
    <row r="45" spans="3:5" x14ac:dyDescent="0.35">
      <c r="C45" s="4"/>
      <c r="D45" s="3"/>
      <c r="E45" s="3"/>
    </row>
    <row r="46" spans="3:5" x14ac:dyDescent="0.35">
      <c r="C46" s="4"/>
      <c r="D46" s="3"/>
      <c r="E46" s="3"/>
    </row>
    <row r="47" spans="3:5" x14ac:dyDescent="0.35">
      <c r="C47" s="4"/>
      <c r="D47" s="3"/>
      <c r="E47" s="3"/>
    </row>
    <row r="48" spans="3:5" x14ac:dyDescent="0.35">
      <c r="C48" s="4"/>
      <c r="D48" s="3"/>
      <c r="E48" s="3"/>
    </row>
    <row r="49" spans="3:5" x14ac:dyDescent="0.35">
      <c r="C49" s="4"/>
      <c r="D49" s="3"/>
      <c r="E49" s="3"/>
    </row>
    <row r="50" spans="3:5" x14ac:dyDescent="0.35">
      <c r="C50" s="4"/>
      <c r="D50" s="3"/>
      <c r="E50" s="3"/>
    </row>
    <row r="51" spans="3:5" x14ac:dyDescent="0.35">
      <c r="C51" s="4"/>
      <c r="D51" s="3"/>
      <c r="E51" s="3"/>
    </row>
    <row r="52" spans="3:5" x14ac:dyDescent="0.35">
      <c r="C52" s="4"/>
      <c r="D52" s="3"/>
      <c r="E52" s="3"/>
    </row>
    <row r="53" spans="3:5" x14ac:dyDescent="0.35">
      <c r="C53" s="4"/>
      <c r="D53" s="3"/>
      <c r="E53" s="3"/>
    </row>
    <row r="54" spans="3:5" x14ac:dyDescent="0.35">
      <c r="C54" s="4"/>
      <c r="D54" s="3"/>
      <c r="E54" s="3"/>
    </row>
    <row r="55" spans="3:5" x14ac:dyDescent="0.35">
      <c r="C55" s="4"/>
      <c r="D55" s="3"/>
      <c r="E55" s="3"/>
    </row>
    <row r="56" spans="3:5" x14ac:dyDescent="0.35">
      <c r="C56" s="4"/>
      <c r="D56" s="3"/>
      <c r="E56" s="3"/>
    </row>
    <row r="57" spans="3:5" x14ac:dyDescent="0.35">
      <c r="C57" s="4"/>
      <c r="D57" s="3"/>
      <c r="E57" s="3"/>
    </row>
    <row r="58" spans="3:5" x14ac:dyDescent="0.35">
      <c r="C58" s="4"/>
      <c r="D58" s="3"/>
      <c r="E58" s="3"/>
    </row>
    <row r="59" spans="3:5" x14ac:dyDescent="0.35">
      <c r="C59" s="4"/>
      <c r="D59" s="3"/>
      <c r="E59" s="3"/>
    </row>
    <row r="60" spans="3:5" x14ac:dyDescent="0.35">
      <c r="C60" s="4"/>
      <c r="D60" s="3"/>
      <c r="E60" s="3"/>
    </row>
    <row r="61" spans="3:5" x14ac:dyDescent="0.35">
      <c r="C61" s="4"/>
      <c r="D61" s="3"/>
      <c r="E61" s="3"/>
    </row>
    <row r="62" spans="3:5" x14ac:dyDescent="0.35">
      <c r="C62" s="4"/>
      <c r="D62" s="3"/>
      <c r="E62" s="3"/>
    </row>
    <row r="63" spans="3:5" x14ac:dyDescent="0.35">
      <c r="C63" s="4"/>
      <c r="D63" s="3"/>
      <c r="E63" s="3"/>
    </row>
    <row r="64" spans="3:5" x14ac:dyDescent="0.35">
      <c r="C64" s="4"/>
      <c r="D64" s="3"/>
      <c r="E64" s="3"/>
    </row>
    <row r="65" spans="3:5" x14ac:dyDescent="0.35">
      <c r="C65" s="4"/>
      <c r="D65" s="3"/>
      <c r="E65" s="3"/>
    </row>
    <row r="66" spans="3:5" x14ac:dyDescent="0.35">
      <c r="C66" s="4"/>
      <c r="D66" s="3"/>
      <c r="E66" s="3"/>
    </row>
    <row r="67" spans="3:5" x14ac:dyDescent="0.35">
      <c r="C67" s="4"/>
      <c r="D67" s="3"/>
      <c r="E67" s="3"/>
    </row>
    <row r="68" spans="3:5" x14ac:dyDescent="0.35">
      <c r="C68" s="4"/>
      <c r="D68" s="3"/>
      <c r="E68" s="3"/>
    </row>
    <row r="69" spans="3:5" x14ac:dyDescent="0.35">
      <c r="C69" s="4"/>
      <c r="D69" s="3"/>
      <c r="E69" s="3"/>
    </row>
    <row r="70" spans="3:5" x14ac:dyDescent="0.35">
      <c r="C70" s="4"/>
      <c r="D70" s="3"/>
      <c r="E70" s="3"/>
    </row>
    <row r="71" spans="3:5" x14ac:dyDescent="0.35">
      <c r="C71" s="4"/>
      <c r="D71" s="3"/>
      <c r="E71" s="3"/>
    </row>
    <row r="72" spans="3:5" x14ac:dyDescent="0.35">
      <c r="C72" s="4"/>
      <c r="D72" s="3"/>
      <c r="E72" s="3"/>
    </row>
    <row r="73" spans="3:5" x14ac:dyDescent="0.35">
      <c r="C73" s="4"/>
      <c r="D73" s="3"/>
      <c r="E73" s="3"/>
    </row>
    <row r="74" spans="3:5" x14ac:dyDescent="0.35">
      <c r="C74" s="4"/>
      <c r="D74" s="3"/>
      <c r="E74" s="3"/>
    </row>
    <row r="75" spans="3:5" x14ac:dyDescent="0.35">
      <c r="C75" s="4"/>
      <c r="D75" s="3"/>
      <c r="E75" s="3"/>
    </row>
    <row r="76" spans="3:5" x14ac:dyDescent="0.35">
      <c r="C76" s="4"/>
      <c r="D76" s="3"/>
      <c r="E76" s="3"/>
    </row>
    <row r="77" spans="3:5" x14ac:dyDescent="0.35">
      <c r="C77" s="4"/>
      <c r="D77" s="3"/>
      <c r="E77" s="3"/>
    </row>
    <row r="78" spans="3:5" x14ac:dyDescent="0.35">
      <c r="C78" s="4"/>
      <c r="D78" s="3"/>
      <c r="E78" s="3"/>
    </row>
    <row r="79" spans="3:5" x14ac:dyDescent="0.35">
      <c r="C79" s="4"/>
      <c r="D79" s="3"/>
      <c r="E79" s="3"/>
    </row>
    <row r="80" spans="3:5" x14ac:dyDescent="0.35">
      <c r="C80" s="4"/>
      <c r="D80" s="3"/>
      <c r="E80" s="3"/>
    </row>
    <row r="81" spans="3:5" x14ac:dyDescent="0.35">
      <c r="C81" s="4"/>
      <c r="D81" s="3"/>
      <c r="E81" s="3"/>
    </row>
    <row r="82" spans="3:5" x14ac:dyDescent="0.35">
      <c r="C82" s="4"/>
      <c r="D82" s="3"/>
      <c r="E82" s="3"/>
    </row>
    <row r="83" spans="3:5" x14ac:dyDescent="0.35">
      <c r="C83" s="4"/>
      <c r="D83" s="3"/>
      <c r="E83" s="3"/>
    </row>
    <row r="84" spans="3:5" x14ac:dyDescent="0.35">
      <c r="C84" s="4"/>
      <c r="D84" s="3"/>
      <c r="E84" s="3"/>
    </row>
    <row r="85" spans="3:5" x14ac:dyDescent="0.35">
      <c r="C85" s="4"/>
      <c r="D85" s="3"/>
      <c r="E85" s="3"/>
    </row>
    <row r="86" spans="3:5" x14ac:dyDescent="0.35">
      <c r="C86" s="4"/>
      <c r="D86" s="3"/>
      <c r="E86" s="3"/>
    </row>
    <row r="87" spans="3:5" x14ac:dyDescent="0.35">
      <c r="C87" s="4"/>
      <c r="D87" s="3"/>
      <c r="E87" s="3"/>
    </row>
    <row r="88" spans="3:5" x14ac:dyDescent="0.35">
      <c r="C88" s="4"/>
      <c r="D88" s="3"/>
      <c r="E88" s="3"/>
    </row>
    <row r="89" spans="3:5" x14ac:dyDescent="0.35">
      <c r="C89" s="4"/>
      <c r="D89" s="3"/>
      <c r="E89" s="3"/>
    </row>
    <row r="90" spans="3:5" x14ac:dyDescent="0.35">
      <c r="C90" s="4"/>
      <c r="D90" s="3"/>
      <c r="E90" s="3"/>
    </row>
    <row r="91" spans="3:5" x14ac:dyDescent="0.35">
      <c r="C91" s="4"/>
      <c r="D91" s="3"/>
      <c r="E91" s="3"/>
    </row>
    <row r="92" spans="3:5" x14ac:dyDescent="0.35">
      <c r="C92" s="4"/>
      <c r="D92" s="3"/>
      <c r="E92" s="3"/>
    </row>
    <row r="93" spans="3:5" x14ac:dyDescent="0.35">
      <c r="C93" s="4"/>
      <c r="D93" s="3"/>
      <c r="E93" s="3"/>
    </row>
    <row r="94" spans="3:5" x14ac:dyDescent="0.35">
      <c r="C94" s="4"/>
      <c r="D94" s="3"/>
      <c r="E94" s="3"/>
    </row>
    <row r="95" spans="3:5" x14ac:dyDescent="0.35">
      <c r="C95" s="4"/>
      <c r="D95" s="3"/>
      <c r="E95" s="3"/>
    </row>
    <row r="96" spans="3:5" x14ac:dyDescent="0.35">
      <c r="C96" s="4"/>
      <c r="D96" s="3"/>
      <c r="E96" s="3"/>
    </row>
    <row r="97" spans="3:5" x14ac:dyDescent="0.35">
      <c r="C97" s="4"/>
      <c r="D97" s="3"/>
      <c r="E97" s="3"/>
    </row>
    <row r="98" spans="3:5" x14ac:dyDescent="0.35">
      <c r="C98" s="4"/>
      <c r="D98" s="3"/>
      <c r="E98" s="3"/>
    </row>
    <row r="99" spans="3:5" x14ac:dyDescent="0.35">
      <c r="C99" s="4"/>
      <c r="D99" s="3"/>
      <c r="E99" s="3"/>
    </row>
    <row r="100" spans="3:5" x14ac:dyDescent="0.35">
      <c r="C100" s="4"/>
      <c r="D100" s="3"/>
      <c r="E100" s="3"/>
    </row>
    <row r="101" spans="3:5" x14ac:dyDescent="0.35">
      <c r="C101" s="4"/>
      <c r="D101" s="3"/>
      <c r="E101" s="3"/>
    </row>
    <row r="102" spans="3:5" x14ac:dyDescent="0.35">
      <c r="C102" s="4"/>
      <c r="D102" s="3"/>
      <c r="E102" s="3"/>
    </row>
    <row r="103" spans="3:5" x14ac:dyDescent="0.35">
      <c r="C103" s="4"/>
      <c r="D103" s="3"/>
      <c r="E103" s="3"/>
    </row>
    <row r="104" spans="3:5" x14ac:dyDescent="0.35">
      <c r="C104" s="4"/>
      <c r="D104" s="3"/>
      <c r="E104" s="3"/>
    </row>
    <row r="105" spans="3:5" x14ac:dyDescent="0.35">
      <c r="C105" s="4"/>
      <c r="D105" s="3"/>
      <c r="E105" s="3"/>
    </row>
    <row r="106" spans="3:5" x14ac:dyDescent="0.35">
      <c r="C106" s="4"/>
      <c r="D106" s="3"/>
      <c r="E106" s="3"/>
    </row>
    <row r="107" spans="3:5" x14ac:dyDescent="0.35">
      <c r="C107" s="4"/>
      <c r="D107" s="3"/>
      <c r="E107" s="3"/>
    </row>
    <row r="108" spans="3:5" x14ac:dyDescent="0.35">
      <c r="C108" s="4"/>
      <c r="D108" s="3"/>
      <c r="E108" s="3"/>
    </row>
    <row r="109" spans="3:5" x14ac:dyDescent="0.35">
      <c r="C109" s="4"/>
      <c r="D109" s="3"/>
      <c r="E109" s="3"/>
    </row>
    <row r="110" spans="3:5" x14ac:dyDescent="0.35">
      <c r="C110" s="4"/>
      <c r="D110" s="3"/>
      <c r="E110" s="3"/>
    </row>
    <row r="111" spans="3:5" x14ac:dyDescent="0.35">
      <c r="C111" s="4"/>
      <c r="D111" s="3"/>
      <c r="E111" s="3"/>
    </row>
    <row r="112" spans="3:5" x14ac:dyDescent="0.35">
      <c r="C112" s="4"/>
      <c r="D112" s="3"/>
      <c r="E112" s="3"/>
    </row>
    <row r="113" spans="3:5" x14ac:dyDescent="0.35">
      <c r="C113" s="4"/>
      <c r="D113" s="3"/>
      <c r="E113" s="3"/>
    </row>
    <row r="114" spans="3:5" x14ac:dyDescent="0.35">
      <c r="C114" s="4"/>
      <c r="D114" s="3"/>
      <c r="E114" s="3"/>
    </row>
    <row r="115" spans="3:5" x14ac:dyDescent="0.35">
      <c r="C115" s="4"/>
      <c r="D115" s="3"/>
      <c r="E115" s="3"/>
    </row>
    <row r="116" spans="3:5" x14ac:dyDescent="0.35">
      <c r="C116" s="4"/>
      <c r="D116" s="3"/>
      <c r="E116" s="3"/>
    </row>
    <row r="117" spans="3:5" x14ac:dyDescent="0.35">
      <c r="C117" s="4"/>
      <c r="D117" s="3"/>
      <c r="E117" s="3"/>
    </row>
    <row r="118" spans="3:5" x14ac:dyDescent="0.35">
      <c r="C118" s="4"/>
      <c r="D118" s="3"/>
      <c r="E118" s="3"/>
    </row>
    <row r="119" spans="3:5" x14ac:dyDescent="0.35">
      <c r="C119" s="4"/>
      <c r="D119" s="3"/>
      <c r="E119" s="3"/>
    </row>
    <row r="120" spans="3:5" x14ac:dyDescent="0.35">
      <c r="C120" s="4"/>
      <c r="D120" s="3"/>
      <c r="E120" s="3"/>
    </row>
    <row r="121" spans="3:5" x14ac:dyDescent="0.35">
      <c r="C121" s="4"/>
      <c r="D121" s="3"/>
      <c r="E121" s="3"/>
    </row>
    <row r="122" spans="3:5" x14ac:dyDescent="0.35">
      <c r="C122" s="4"/>
      <c r="D122" s="3"/>
      <c r="E122" s="3"/>
    </row>
    <row r="123" spans="3:5" x14ac:dyDescent="0.35">
      <c r="C123" s="4"/>
      <c r="D123" s="3"/>
      <c r="E123" s="3"/>
    </row>
    <row r="124" spans="3:5" x14ac:dyDescent="0.35">
      <c r="C124" s="4"/>
      <c r="D124" s="3"/>
      <c r="E124" s="3"/>
    </row>
    <row r="125" spans="3:5" x14ac:dyDescent="0.35">
      <c r="C125" s="4"/>
      <c r="D125" s="3"/>
      <c r="E125" s="3"/>
    </row>
    <row r="126" spans="3:5" x14ac:dyDescent="0.35">
      <c r="C126" s="4"/>
      <c r="D126" s="3"/>
      <c r="E126" s="3"/>
    </row>
    <row r="127" spans="3:5" x14ac:dyDescent="0.35">
      <c r="C127" s="4"/>
      <c r="D127" s="3"/>
      <c r="E127" s="3"/>
    </row>
    <row r="128" spans="3:5" x14ac:dyDescent="0.35">
      <c r="C128" s="4"/>
      <c r="D128" s="3"/>
      <c r="E128" s="3"/>
    </row>
    <row r="129" spans="3:5" x14ac:dyDescent="0.35">
      <c r="C129" s="4"/>
      <c r="D129" s="3"/>
      <c r="E129" s="3"/>
    </row>
    <row r="130" spans="3:5" x14ac:dyDescent="0.35">
      <c r="C130" s="4"/>
      <c r="D130" s="3"/>
      <c r="E130" s="3"/>
    </row>
    <row r="131" spans="3:5" x14ac:dyDescent="0.35">
      <c r="C131" s="4"/>
      <c r="D131" s="3"/>
      <c r="E131" s="3"/>
    </row>
    <row r="132" spans="3:5" x14ac:dyDescent="0.35">
      <c r="C132" s="4"/>
      <c r="D132" s="3"/>
      <c r="E132" s="3"/>
    </row>
    <row r="133" spans="3:5" x14ac:dyDescent="0.35">
      <c r="C133" s="4"/>
      <c r="D133" s="3"/>
      <c r="E133" s="3"/>
    </row>
    <row r="134" spans="3:5" x14ac:dyDescent="0.35">
      <c r="C134" s="4"/>
      <c r="D134" s="3"/>
      <c r="E134" s="3"/>
    </row>
    <row r="135" spans="3:5" x14ac:dyDescent="0.35">
      <c r="C135" s="4"/>
      <c r="D135" s="3"/>
      <c r="E135" s="3"/>
    </row>
    <row r="136" spans="3:5" x14ac:dyDescent="0.35">
      <c r="C136" s="4"/>
      <c r="D136" s="3"/>
      <c r="E136" s="3"/>
    </row>
    <row r="137" spans="3:5" x14ac:dyDescent="0.35">
      <c r="C137" s="4"/>
      <c r="D137" s="3"/>
      <c r="E137" s="3"/>
    </row>
    <row r="138" spans="3:5" x14ac:dyDescent="0.35">
      <c r="C138" s="4"/>
      <c r="D138" s="3"/>
      <c r="E138" s="3"/>
    </row>
    <row r="139" spans="3:5" x14ac:dyDescent="0.35">
      <c r="C139" s="4"/>
      <c r="D139" s="3"/>
      <c r="E139" s="3"/>
    </row>
    <row r="140" spans="3:5" x14ac:dyDescent="0.35">
      <c r="C140" s="4"/>
      <c r="D140" s="3"/>
      <c r="E140" s="3"/>
    </row>
    <row r="141" spans="3:5" x14ac:dyDescent="0.35">
      <c r="C141" s="4"/>
      <c r="D141" s="3"/>
      <c r="E141" s="3"/>
    </row>
    <row r="142" spans="3:5" x14ac:dyDescent="0.35">
      <c r="C142" s="4"/>
      <c r="D142" s="3"/>
      <c r="E142" s="3"/>
    </row>
    <row r="143" spans="3:5" x14ac:dyDescent="0.35">
      <c r="C143" s="4"/>
      <c r="D143" s="3"/>
      <c r="E143" s="3"/>
    </row>
    <row r="144" spans="3:5" x14ac:dyDescent="0.35">
      <c r="C144" s="4"/>
      <c r="D144" s="3"/>
      <c r="E144" s="3"/>
    </row>
    <row r="145" spans="3:5" x14ac:dyDescent="0.35">
      <c r="C145" s="4"/>
      <c r="D145" s="3"/>
      <c r="E145" s="3"/>
    </row>
    <row r="146" spans="3:5" x14ac:dyDescent="0.35">
      <c r="C146" s="4"/>
      <c r="D146" s="3"/>
      <c r="E146" s="3"/>
    </row>
    <row r="147" spans="3:5" x14ac:dyDescent="0.35">
      <c r="C147" s="4"/>
      <c r="D147" s="3"/>
      <c r="E147" s="3"/>
    </row>
    <row r="148" spans="3:5" x14ac:dyDescent="0.35">
      <c r="C148" s="4"/>
      <c r="D148" s="3"/>
      <c r="E148" s="3"/>
    </row>
    <row r="149" spans="3:5" x14ac:dyDescent="0.35">
      <c r="C149" s="4"/>
      <c r="D149" s="3"/>
      <c r="E149" s="3"/>
    </row>
    <row r="150" spans="3:5" x14ac:dyDescent="0.35">
      <c r="C150" s="4"/>
      <c r="D150" s="3"/>
      <c r="E150" s="3"/>
    </row>
    <row r="151" spans="3:5" x14ac:dyDescent="0.35">
      <c r="C151" s="4"/>
      <c r="D151" s="3"/>
      <c r="E151" s="3"/>
    </row>
    <row r="152" spans="3:5" x14ac:dyDescent="0.35">
      <c r="C152" s="4"/>
      <c r="D152" s="3"/>
      <c r="E152" s="3"/>
    </row>
    <row r="153" spans="3:5" x14ac:dyDescent="0.35">
      <c r="C153" s="4"/>
      <c r="D153" s="3"/>
      <c r="E153" s="3"/>
    </row>
    <row r="154" spans="3:5" x14ac:dyDescent="0.35">
      <c r="C154" s="4"/>
      <c r="D154" s="3"/>
      <c r="E154" s="3"/>
    </row>
    <row r="155" spans="3:5" x14ac:dyDescent="0.35">
      <c r="C155" s="4"/>
      <c r="D155" s="3"/>
      <c r="E155" s="3"/>
    </row>
    <row r="156" spans="3:5" x14ac:dyDescent="0.35">
      <c r="C156" s="4"/>
      <c r="D156" s="3"/>
      <c r="E156" s="3"/>
    </row>
    <row r="157" spans="3:5" x14ac:dyDescent="0.35">
      <c r="C157" s="4"/>
      <c r="D157" s="3"/>
      <c r="E157" s="3"/>
    </row>
    <row r="158" spans="3:5" x14ac:dyDescent="0.35">
      <c r="C158" s="4"/>
      <c r="D158" s="3"/>
      <c r="E158" s="3"/>
    </row>
    <row r="159" spans="3:5" x14ac:dyDescent="0.35">
      <c r="C159" s="4"/>
      <c r="D159" s="3"/>
      <c r="E159" s="3"/>
    </row>
    <row r="160" spans="3:5" x14ac:dyDescent="0.35">
      <c r="C160" s="4"/>
      <c r="D160" s="3"/>
      <c r="E160" s="3"/>
    </row>
    <row r="161" spans="3:5" x14ac:dyDescent="0.35">
      <c r="C161" s="4"/>
      <c r="D161" s="3"/>
      <c r="E161" s="3"/>
    </row>
    <row r="162" spans="3:5" x14ac:dyDescent="0.35">
      <c r="C162" s="4"/>
      <c r="D162" s="3"/>
      <c r="E162" s="3"/>
    </row>
    <row r="163" spans="3:5" x14ac:dyDescent="0.35">
      <c r="C163" s="4"/>
      <c r="D163" s="3"/>
      <c r="E163" s="3"/>
    </row>
    <row r="164" spans="3:5" x14ac:dyDescent="0.35">
      <c r="C164" s="4"/>
      <c r="D164" s="3"/>
      <c r="E164" s="3"/>
    </row>
    <row r="165" spans="3:5" x14ac:dyDescent="0.35">
      <c r="C165" s="4"/>
      <c r="D165" s="3"/>
      <c r="E165" s="3"/>
    </row>
    <row r="166" spans="3:5" x14ac:dyDescent="0.35">
      <c r="C166" s="4"/>
      <c r="D166" s="3"/>
      <c r="E166" s="3"/>
    </row>
    <row r="167" spans="3:5" x14ac:dyDescent="0.35">
      <c r="C167" s="4"/>
      <c r="D167" s="3"/>
      <c r="E167" s="3"/>
    </row>
    <row r="168" spans="3:5" x14ac:dyDescent="0.35">
      <c r="C168" s="4"/>
      <c r="D168" s="3"/>
      <c r="E168" s="3"/>
    </row>
    <row r="169" spans="3:5" x14ac:dyDescent="0.35">
      <c r="C169" s="4"/>
      <c r="D169" s="3"/>
      <c r="E169" s="3"/>
    </row>
    <row r="170" spans="3:5" x14ac:dyDescent="0.35">
      <c r="C170" s="4"/>
      <c r="D170" s="3"/>
      <c r="E170" s="3"/>
    </row>
    <row r="171" spans="3:5" x14ac:dyDescent="0.35">
      <c r="C171" s="4"/>
      <c r="D171" s="3"/>
      <c r="E171" s="3"/>
    </row>
    <row r="172" spans="3:5" x14ac:dyDescent="0.35">
      <c r="C172" s="4"/>
      <c r="D172" s="3"/>
      <c r="E172" s="3"/>
    </row>
    <row r="173" spans="3:5" x14ac:dyDescent="0.35">
      <c r="C173" s="4"/>
      <c r="D173" s="3"/>
      <c r="E173" s="3"/>
    </row>
    <row r="174" spans="3:5" x14ac:dyDescent="0.35">
      <c r="C174" s="4"/>
      <c r="D174" s="3"/>
      <c r="E174" s="3"/>
    </row>
    <row r="175" spans="3:5" x14ac:dyDescent="0.35">
      <c r="C175" s="4"/>
      <c r="D175" s="3"/>
      <c r="E175" s="3"/>
    </row>
    <row r="176" spans="3:5" x14ac:dyDescent="0.35">
      <c r="C176" s="4"/>
      <c r="D176" s="3"/>
      <c r="E176" s="3"/>
    </row>
    <row r="177" spans="3:5" x14ac:dyDescent="0.35">
      <c r="C177" s="4"/>
      <c r="D177" s="3"/>
      <c r="E177" s="3"/>
    </row>
    <row r="178" spans="3:5" x14ac:dyDescent="0.35">
      <c r="C178" s="4"/>
      <c r="D178" s="3"/>
      <c r="E178" s="3"/>
    </row>
    <row r="179" spans="3:5" x14ac:dyDescent="0.35">
      <c r="C179" s="4"/>
      <c r="D179" s="3"/>
      <c r="E179" s="3"/>
    </row>
    <row r="180" spans="3:5" x14ac:dyDescent="0.35">
      <c r="C180" s="4"/>
      <c r="D180" s="3"/>
      <c r="E180" s="3"/>
    </row>
    <row r="181" spans="3:5" x14ac:dyDescent="0.35">
      <c r="C181" s="4"/>
      <c r="D181" s="3"/>
      <c r="E181" s="3"/>
    </row>
    <row r="182" spans="3:5" x14ac:dyDescent="0.35">
      <c r="C182" s="4"/>
      <c r="D182" s="3"/>
      <c r="E182" s="3"/>
    </row>
    <row r="183" spans="3:5" x14ac:dyDescent="0.35">
      <c r="C183" s="4"/>
      <c r="D183" s="3"/>
      <c r="E183" s="3"/>
    </row>
    <row r="184" spans="3:5" x14ac:dyDescent="0.35">
      <c r="C184" s="4"/>
      <c r="D184" s="3"/>
      <c r="E184" s="3"/>
    </row>
    <row r="185" spans="3:5" x14ac:dyDescent="0.35">
      <c r="C185" s="4"/>
      <c r="D185" s="3"/>
      <c r="E185" s="3"/>
    </row>
    <row r="186" spans="3:5" x14ac:dyDescent="0.35">
      <c r="C186" s="4"/>
      <c r="D186" s="3"/>
      <c r="E186" s="3"/>
    </row>
    <row r="187" spans="3:5" x14ac:dyDescent="0.35">
      <c r="C187" s="4"/>
      <c r="D187" s="3"/>
      <c r="E187" s="3"/>
    </row>
    <row r="188" spans="3:5" x14ac:dyDescent="0.35">
      <c r="C188" s="4"/>
      <c r="D188" s="3"/>
      <c r="E188" s="3"/>
    </row>
    <row r="189" spans="3:5" x14ac:dyDescent="0.35">
      <c r="C189" s="4"/>
      <c r="D189" s="3"/>
      <c r="E189" s="3"/>
    </row>
    <row r="190" spans="3:5" x14ac:dyDescent="0.35">
      <c r="C190" s="4"/>
      <c r="D190" s="3"/>
      <c r="E190" s="3"/>
    </row>
    <row r="191" spans="3:5" x14ac:dyDescent="0.35">
      <c r="C191" s="4"/>
      <c r="D191" s="3"/>
      <c r="E191" s="3"/>
    </row>
    <row r="192" spans="3:5" x14ac:dyDescent="0.35">
      <c r="C192" s="4"/>
      <c r="D192" s="3"/>
      <c r="E192" s="3"/>
    </row>
    <row r="193" spans="3:5" x14ac:dyDescent="0.35">
      <c r="C193" s="4"/>
      <c r="D193" s="3"/>
      <c r="E193" s="3"/>
    </row>
    <row r="194" spans="3:5" x14ac:dyDescent="0.35">
      <c r="C194" s="4"/>
      <c r="D194" s="3"/>
      <c r="E194" s="3"/>
    </row>
    <row r="195" spans="3:5" x14ac:dyDescent="0.35">
      <c r="C195" s="4"/>
      <c r="D195" s="3"/>
      <c r="E195" s="3"/>
    </row>
    <row r="196" spans="3:5" x14ac:dyDescent="0.35">
      <c r="C196" s="4"/>
      <c r="D196" s="3"/>
      <c r="E196" s="3"/>
    </row>
    <row r="197" spans="3:5" x14ac:dyDescent="0.35">
      <c r="C197" s="4"/>
      <c r="D197" s="3"/>
      <c r="E197" s="3"/>
    </row>
    <row r="198" spans="3:5" x14ac:dyDescent="0.35">
      <c r="C198" s="4"/>
      <c r="D198" s="3"/>
      <c r="E198" s="3"/>
    </row>
    <row r="199" spans="3:5" x14ac:dyDescent="0.35">
      <c r="C199" s="4"/>
      <c r="D199" s="3"/>
      <c r="E199" s="3"/>
    </row>
    <row r="200" spans="3:5" x14ac:dyDescent="0.35">
      <c r="C200" s="4"/>
      <c r="D200" s="3"/>
      <c r="E200" s="3"/>
    </row>
    <row r="201" spans="3:5" x14ac:dyDescent="0.35">
      <c r="C201" s="4"/>
      <c r="D201" s="3"/>
      <c r="E201" s="3"/>
    </row>
    <row r="202" spans="3:5" x14ac:dyDescent="0.35">
      <c r="C202" s="4"/>
      <c r="D202" s="3"/>
      <c r="E202" s="3"/>
    </row>
    <row r="203" spans="3:5" x14ac:dyDescent="0.35">
      <c r="C203" s="4"/>
      <c r="D203" s="3"/>
      <c r="E203" s="3"/>
    </row>
    <row r="204" spans="3:5" x14ac:dyDescent="0.35">
      <c r="C204" s="4"/>
      <c r="D204" s="3"/>
      <c r="E204" s="3"/>
    </row>
    <row r="205" spans="3:5" x14ac:dyDescent="0.35">
      <c r="C205" s="4"/>
      <c r="D205" s="3"/>
      <c r="E205" s="3"/>
    </row>
    <row r="206" spans="3:5" x14ac:dyDescent="0.35">
      <c r="C206" s="4"/>
      <c r="D206" s="3"/>
      <c r="E206" s="3"/>
    </row>
    <row r="207" spans="3:5" x14ac:dyDescent="0.35">
      <c r="C207" s="4"/>
      <c r="D207" s="3"/>
      <c r="E207" s="3"/>
    </row>
    <row r="208" spans="3:5" x14ac:dyDescent="0.35">
      <c r="C208" s="4"/>
      <c r="D208" s="3"/>
      <c r="E208" s="3"/>
    </row>
    <row r="209" spans="3:5" x14ac:dyDescent="0.35">
      <c r="C209" s="4"/>
      <c r="D209" s="3"/>
      <c r="E209" s="3"/>
    </row>
    <row r="210" spans="3:5" x14ac:dyDescent="0.35">
      <c r="C210" s="4"/>
      <c r="D210" s="3"/>
      <c r="E210" s="3"/>
    </row>
    <row r="211" spans="3:5" x14ac:dyDescent="0.35">
      <c r="C211" s="4"/>
      <c r="D211" s="3"/>
      <c r="E211" s="3"/>
    </row>
    <row r="212" spans="3:5" x14ac:dyDescent="0.35">
      <c r="C212" s="4"/>
      <c r="D212" s="3"/>
      <c r="E212" s="3"/>
    </row>
    <row r="213" spans="3:5" x14ac:dyDescent="0.35">
      <c r="C213" s="4"/>
      <c r="D213" s="3"/>
      <c r="E213" s="3"/>
    </row>
    <row r="214" spans="3:5" x14ac:dyDescent="0.35">
      <c r="C214" s="4"/>
      <c r="D214" s="3"/>
      <c r="E214" s="3"/>
    </row>
    <row r="215" spans="3:5" x14ac:dyDescent="0.35">
      <c r="C215" s="4"/>
      <c r="D215" s="3"/>
      <c r="E215" s="3"/>
    </row>
    <row r="216" spans="3:5" x14ac:dyDescent="0.35">
      <c r="C216" s="4"/>
      <c r="D216" s="3"/>
      <c r="E216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F424-8D36-4816-9936-0F9EAC7789CD}">
  <dimension ref="A1:E5"/>
  <sheetViews>
    <sheetView workbookViewId="0">
      <selection activeCell="G25" sqref="G25"/>
    </sheetView>
  </sheetViews>
  <sheetFormatPr defaultRowHeight="14.5" x14ac:dyDescent="0.35"/>
  <cols>
    <col min="2" max="2" width="11.54296875" customWidth="1"/>
    <col min="3" max="3" width="10.7265625" customWidth="1"/>
    <col min="5" max="5" width="14.54296875" customWidth="1"/>
  </cols>
  <sheetData>
    <row r="1" spans="1:5" x14ac:dyDescent="0.35">
      <c r="A1" t="s">
        <v>12</v>
      </c>
      <c r="B1" t="s">
        <v>18</v>
      </c>
      <c r="C1" t="s">
        <v>17</v>
      </c>
      <c r="D1" t="s">
        <v>21</v>
      </c>
      <c r="E1" t="s">
        <v>19</v>
      </c>
    </row>
    <row r="2" spans="1:5" x14ac:dyDescent="0.35">
      <c r="A2" t="s">
        <v>13</v>
      </c>
      <c r="B2">
        <v>0</v>
      </c>
      <c r="C2">
        <v>15</v>
      </c>
      <c r="D2">
        <v>60.21</v>
      </c>
      <c r="E2">
        <f>D2/SUM(D2:D5)</f>
        <v>0.21845294245700603</v>
      </c>
    </row>
    <row r="3" spans="1:5" x14ac:dyDescent="0.35">
      <c r="A3" t="s">
        <v>14</v>
      </c>
      <c r="B3">
        <v>16</v>
      </c>
      <c r="C3">
        <v>30</v>
      </c>
      <c r="D3">
        <v>38.520000000000003</v>
      </c>
      <c r="E3">
        <f>D3/SUM(D2:D5)</f>
        <v>0.13975763732675422</v>
      </c>
    </row>
    <row r="4" spans="1:5" x14ac:dyDescent="0.35">
      <c r="A4" t="s">
        <v>15</v>
      </c>
      <c r="B4">
        <v>31</v>
      </c>
      <c r="C4">
        <v>50</v>
      </c>
      <c r="D4">
        <v>52.7</v>
      </c>
      <c r="E4">
        <f>D4/SUM(D2:D5)</f>
        <v>0.19120528263551267</v>
      </c>
    </row>
    <row r="5" spans="1:5" x14ac:dyDescent="0.35">
      <c r="A5" t="s">
        <v>20</v>
      </c>
      <c r="B5">
        <v>51</v>
      </c>
      <c r="C5">
        <v>100</v>
      </c>
      <c r="D5">
        <v>124.19</v>
      </c>
      <c r="E5">
        <f>D5/SUM(D2:D5)</f>
        <v>0.45058413758072707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catchdata</vt:lpstr>
      <vt:lpstr>station_info</vt:lpstr>
      <vt:lpstr>stratum_info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 masnadi</cp:lastModifiedBy>
  <dcterms:created xsi:type="dcterms:W3CDTF">2025-01-14T10:59:29Z</dcterms:created>
  <dcterms:modified xsi:type="dcterms:W3CDTF">2026-06-08T23:11:34Z</dcterms:modified>
</cp:coreProperties>
</file>